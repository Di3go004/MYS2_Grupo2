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2026\SegundoSemestre2026\Modela\"/>
    </mc:Choice>
  </mc:AlternateContent>
  <xr:revisionPtr revIDLastSave="0" documentId="13_ncr:1_{F47A593E-AB6A-4A82-BA68-3DA1DF9AAF3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WorkCell1" sheetId="1" r:id="rId1"/>
    <sheet name="WorkCell2" sheetId="5" r:id="rId2"/>
    <sheet name="WorkCell3" sheetId="6" r:id="rId3"/>
    <sheet name="WorkCell4" sheetId="7" r:id="rId4"/>
    <sheet name="WorkCell5" sheetId="8" r:id="rId5"/>
    <sheet name="Total WorkCell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7" l="1"/>
  <c r="C28" i="6"/>
  <c r="C26" i="6"/>
  <c r="C25" i="6"/>
  <c r="H8" i="6"/>
  <c r="G8" i="6"/>
  <c r="D14" i="8"/>
  <c r="C14" i="8"/>
  <c r="D13" i="8"/>
  <c r="C13" i="8"/>
  <c r="D12" i="8"/>
  <c r="C12" i="8"/>
  <c r="I27" i="9"/>
  <c r="I28" i="9"/>
  <c r="I29" i="9"/>
  <c r="I26" i="9"/>
  <c r="H27" i="9"/>
  <c r="H28" i="9"/>
  <c r="H29" i="9"/>
  <c r="H26" i="9"/>
  <c r="G27" i="9"/>
  <c r="G28" i="9"/>
  <c r="G29" i="9"/>
  <c r="G26" i="9"/>
  <c r="F27" i="9"/>
  <c r="F28" i="9"/>
  <c r="F29" i="9"/>
  <c r="F26" i="9"/>
  <c r="E27" i="9"/>
  <c r="E28" i="9"/>
  <c r="E29" i="9"/>
  <c r="E26" i="9"/>
  <c r="D27" i="9"/>
  <c r="D28" i="9"/>
  <c r="D29" i="9"/>
  <c r="D26" i="9"/>
  <c r="B29" i="9"/>
  <c r="C23" i="9" l="1"/>
  <c r="B23" i="9"/>
  <c r="D23" i="9" s="1"/>
  <c r="D22" i="9"/>
  <c r="D21" i="9"/>
  <c r="D20" i="9"/>
  <c r="D19" i="9"/>
  <c r="D18" i="9"/>
  <c r="D15" i="8"/>
  <c r="C15" i="8"/>
  <c r="D37" i="7"/>
  <c r="C37" i="7"/>
  <c r="D35" i="6"/>
  <c r="D34" i="6"/>
  <c r="D33" i="6"/>
  <c r="D32" i="6"/>
  <c r="D31" i="6"/>
  <c r="D30" i="6"/>
  <c r="D29" i="6"/>
  <c r="D28" i="6"/>
  <c r="D27" i="6"/>
  <c r="D26" i="6"/>
  <c r="D25" i="6"/>
  <c r="C36" i="6"/>
  <c r="D38" i="5"/>
  <c r="C38" i="5"/>
  <c r="D36" i="1"/>
  <c r="C36" i="1"/>
  <c r="B14" i="8"/>
  <c r="B13" i="8"/>
  <c r="B12" i="8"/>
  <c r="D36" i="7"/>
  <c r="D35" i="7"/>
  <c r="D34" i="7"/>
  <c r="D33" i="7"/>
  <c r="D32" i="7"/>
  <c r="D31" i="7"/>
  <c r="D29" i="7"/>
  <c r="D30" i="7"/>
  <c r="D28" i="7"/>
  <c r="D26" i="7"/>
  <c r="C36" i="7"/>
  <c r="C35" i="7"/>
  <c r="C33" i="7"/>
  <c r="C34" i="7"/>
  <c r="C32" i="7"/>
  <c r="C31" i="7"/>
  <c r="C30" i="7"/>
  <c r="C29" i="7"/>
  <c r="C28" i="7"/>
  <c r="C27" i="7"/>
  <c r="C26" i="7"/>
  <c r="B36" i="7"/>
  <c r="B35" i="7"/>
  <c r="B34" i="7"/>
  <c r="B33" i="7"/>
  <c r="B32" i="7"/>
  <c r="B31" i="7"/>
  <c r="B30" i="7"/>
  <c r="B29" i="7"/>
  <c r="B28" i="7"/>
  <c r="B27" i="7"/>
  <c r="B26" i="7"/>
  <c r="C35" i="6"/>
  <c r="C34" i="6"/>
  <c r="C33" i="6"/>
  <c r="C32" i="6"/>
  <c r="C31" i="6"/>
  <c r="C30" i="6"/>
  <c r="C29" i="6"/>
  <c r="C27" i="6"/>
  <c r="B35" i="6"/>
  <c r="B34" i="6"/>
  <c r="B33" i="6"/>
  <c r="B32" i="6"/>
  <c r="B31" i="6"/>
  <c r="B30" i="6"/>
  <c r="B28" i="6"/>
  <c r="B29" i="6"/>
  <c r="B27" i="6"/>
  <c r="B26" i="6"/>
  <c r="B25" i="6"/>
  <c r="D37" i="5"/>
  <c r="D36" i="5"/>
  <c r="D34" i="5"/>
  <c r="D35" i="5"/>
  <c r="D32" i="5"/>
  <c r="D33" i="5"/>
  <c r="D31" i="5"/>
  <c r="D30" i="5"/>
  <c r="D29" i="5"/>
  <c r="D28" i="5"/>
  <c r="D27" i="5"/>
  <c r="C37" i="5"/>
  <c r="C36" i="5"/>
  <c r="C35" i="5"/>
  <c r="C34" i="5"/>
  <c r="C33" i="5"/>
  <c r="C32" i="5"/>
  <c r="C31" i="5"/>
  <c r="C30" i="5"/>
  <c r="C29" i="5"/>
  <c r="C28" i="5"/>
  <c r="C27" i="5"/>
  <c r="B37" i="5"/>
  <c r="B36" i="5"/>
  <c r="B35" i="5"/>
  <c r="B34" i="5"/>
  <c r="B33" i="5"/>
  <c r="B32" i="5"/>
  <c r="B31" i="5"/>
  <c r="B30" i="5"/>
  <c r="B29" i="5"/>
  <c r="B28" i="5"/>
  <c r="B27" i="5"/>
  <c r="D33" i="1"/>
  <c r="D30" i="1"/>
  <c r="D28" i="1"/>
  <c r="C28" i="1"/>
  <c r="D29" i="1"/>
  <c r="D27" i="1"/>
  <c r="D25" i="1"/>
  <c r="D26" i="1"/>
  <c r="D31" i="1"/>
  <c r="D32" i="1"/>
  <c r="D34" i="1"/>
  <c r="D35" i="1"/>
  <c r="C35" i="1"/>
  <c r="C34" i="1"/>
  <c r="C33" i="1"/>
  <c r="C32" i="1"/>
  <c r="C31" i="1"/>
  <c r="C30" i="1"/>
  <c r="C29" i="1"/>
  <c r="C27" i="1"/>
  <c r="C26" i="1"/>
  <c r="C25" i="1"/>
  <c r="B35" i="1"/>
  <c r="B34" i="1"/>
  <c r="B33" i="1"/>
  <c r="B32" i="1"/>
  <c r="B31" i="1"/>
  <c r="B30" i="1"/>
  <c r="B29" i="1"/>
  <c r="B28" i="1"/>
  <c r="B25" i="1"/>
  <c r="B27" i="1"/>
  <c r="B26" i="1"/>
  <c r="D36" i="6" l="1"/>
  <c r="D10" i="9"/>
  <c r="C15" i="9"/>
  <c r="B15" i="9"/>
  <c r="I6" i="8"/>
  <c r="I3" i="8"/>
  <c r="H6" i="8"/>
  <c r="H7" i="8"/>
  <c r="I23" i="7"/>
  <c r="H2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3" i="7"/>
  <c r="D15" i="9"/>
  <c r="D14" i="9"/>
  <c r="D13" i="9"/>
  <c r="D12" i="9"/>
  <c r="D11" i="9"/>
  <c r="I10" i="6"/>
  <c r="I3" i="6"/>
  <c r="H3" i="6"/>
  <c r="I22" i="6"/>
  <c r="H22" i="6"/>
  <c r="I4" i="6"/>
  <c r="I5" i="6"/>
  <c r="I6" i="6"/>
  <c r="I7" i="6"/>
  <c r="I8" i="6"/>
  <c r="I9" i="6"/>
  <c r="I11" i="6"/>
  <c r="I12" i="6"/>
  <c r="I13" i="6"/>
  <c r="I14" i="6"/>
  <c r="I15" i="6"/>
  <c r="I16" i="6"/>
  <c r="I17" i="6"/>
  <c r="I18" i="6"/>
  <c r="I19" i="6"/>
  <c r="I20" i="6"/>
  <c r="I21" i="6"/>
  <c r="H4" i="6"/>
  <c r="H5" i="6"/>
  <c r="H6" i="6"/>
  <c r="H7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I3" i="5"/>
  <c r="H3" i="5"/>
  <c r="I5" i="5"/>
  <c r="I7" i="5"/>
  <c r="I13" i="5"/>
  <c r="I14" i="5"/>
  <c r="I15" i="5"/>
  <c r="I17" i="5"/>
  <c r="I19" i="5"/>
  <c r="H4" i="5"/>
  <c r="H7" i="5"/>
  <c r="H8" i="5"/>
  <c r="H13" i="5"/>
  <c r="H14" i="5"/>
  <c r="H15" i="5"/>
  <c r="H16" i="5"/>
  <c r="H19" i="5"/>
  <c r="H20" i="5"/>
  <c r="I21" i="1"/>
  <c r="I8" i="1"/>
  <c r="I10" i="1"/>
  <c r="I12" i="1"/>
  <c r="I17" i="1"/>
  <c r="H5" i="1"/>
  <c r="H4" i="1"/>
  <c r="H3" i="1"/>
  <c r="C7" i="9"/>
  <c r="D7" i="9" s="1"/>
  <c r="B7" i="9"/>
  <c r="D3" i="9"/>
  <c r="D4" i="9"/>
  <c r="D5" i="9"/>
  <c r="D6" i="9"/>
  <c r="D2" i="9"/>
  <c r="G7" i="8"/>
  <c r="I7" i="8" s="1"/>
  <c r="G6" i="8"/>
  <c r="G5" i="8"/>
  <c r="I5" i="8" s="1"/>
  <c r="G4" i="8"/>
  <c r="I4" i="8" s="1"/>
  <c r="I8" i="8" s="1"/>
  <c r="G3" i="8"/>
  <c r="F7" i="8"/>
  <c r="F6" i="8"/>
  <c r="F5" i="8"/>
  <c r="H5" i="8" s="1"/>
  <c r="F4" i="8"/>
  <c r="H4" i="8" s="1"/>
  <c r="F3" i="8"/>
  <c r="F8" i="8" s="1"/>
  <c r="G22" i="7"/>
  <c r="G21" i="7"/>
  <c r="G20" i="7"/>
  <c r="G19" i="7"/>
  <c r="G18" i="7"/>
  <c r="G17" i="7"/>
  <c r="G16" i="7"/>
  <c r="G15" i="7"/>
  <c r="G14" i="7"/>
  <c r="G13" i="7"/>
  <c r="G12" i="7"/>
  <c r="G11" i="7"/>
  <c r="G7" i="7"/>
  <c r="G8" i="7"/>
  <c r="G9" i="7"/>
  <c r="G10" i="7"/>
  <c r="G6" i="7"/>
  <c r="G5" i="7"/>
  <c r="G4" i="7"/>
  <c r="G3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2" i="7"/>
  <c r="F21" i="7"/>
  <c r="F20" i="7"/>
  <c r="F19" i="7"/>
  <c r="F18" i="7"/>
  <c r="F17" i="7"/>
  <c r="G21" i="6"/>
  <c r="G20" i="6"/>
  <c r="G22" i="6"/>
  <c r="G19" i="6"/>
  <c r="G18" i="6"/>
  <c r="G17" i="6"/>
  <c r="G16" i="6"/>
  <c r="G15" i="6"/>
  <c r="G14" i="6"/>
  <c r="G13" i="6"/>
  <c r="G12" i="6"/>
  <c r="G11" i="6"/>
  <c r="G10" i="6"/>
  <c r="G9" i="6"/>
  <c r="G7" i="6"/>
  <c r="G6" i="6"/>
  <c r="G5" i="6"/>
  <c r="G4" i="6"/>
  <c r="G3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G22" i="5"/>
  <c r="I22" i="5" s="1"/>
  <c r="G21" i="5"/>
  <c r="I21" i="5" s="1"/>
  <c r="G20" i="5"/>
  <c r="I20" i="5" s="1"/>
  <c r="G19" i="5"/>
  <c r="G18" i="5"/>
  <c r="I18" i="5" s="1"/>
  <c r="G17" i="5"/>
  <c r="G16" i="5"/>
  <c r="I16" i="5" s="1"/>
  <c r="G15" i="5"/>
  <c r="G14" i="5"/>
  <c r="G13" i="5"/>
  <c r="G12" i="5"/>
  <c r="I12" i="5" s="1"/>
  <c r="G11" i="5"/>
  <c r="I11" i="5" s="1"/>
  <c r="G10" i="5"/>
  <c r="I10" i="5" s="1"/>
  <c r="G9" i="5"/>
  <c r="I9" i="5" s="1"/>
  <c r="G8" i="5"/>
  <c r="G23" i="5" s="1"/>
  <c r="G7" i="5"/>
  <c r="G6" i="5"/>
  <c r="I6" i="5" s="1"/>
  <c r="G5" i="5"/>
  <c r="G4" i="5"/>
  <c r="I4" i="5" s="1"/>
  <c r="G3" i="5"/>
  <c r="F22" i="5"/>
  <c r="H22" i="5" s="1"/>
  <c r="F21" i="5"/>
  <c r="H21" i="5" s="1"/>
  <c r="F20" i="5"/>
  <c r="F19" i="5"/>
  <c r="F18" i="5"/>
  <c r="H18" i="5" s="1"/>
  <c r="F17" i="5"/>
  <c r="H17" i="5" s="1"/>
  <c r="F16" i="5"/>
  <c r="F15" i="5"/>
  <c r="F14" i="5"/>
  <c r="F13" i="5"/>
  <c r="F12" i="5"/>
  <c r="H12" i="5" s="1"/>
  <c r="F11" i="5"/>
  <c r="H11" i="5" s="1"/>
  <c r="F10" i="5"/>
  <c r="H10" i="5" s="1"/>
  <c r="F9" i="5"/>
  <c r="H9" i="5" s="1"/>
  <c r="F8" i="5"/>
  <c r="F7" i="5"/>
  <c r="F6" i="5"/>
  <c r="H6" i="5" s="1"/>
  <c r="F5" i="5"/>
  <c r="F23" i="5" s="1"/>
  <c r="F4" i="5"/>
  <c r="F3" i="5"/>
  <c r="G21" i="1"/>
  <c r="G20" i="1"/>
  <c r="I20" i="1" s="1"/>
  <c r="G19" i="1"/>
  <c r="I19" i="1" s="1"/>
  <c r="G18" i="1"/>
  <c r="I18" i="1" s="1"/>
  <c r="G17" i="1"/>
  <c r="G16" i="1"/>
  <c r="I16" i="1" s="1"/>
  <c r="G15" i="1"/>
  <c r="I15" i="1" s="1"/>
  <c r="G14" i="1"/>
  <c r="I14" i="1" s="1"/>
  <c r="G13" i="1"/>
  <c r="I13" i="1" s="1"/>
  <c r="G12" i="1"/>
  <c r="G11" i="1"/>
  <c r="I11" i="1" s="1"/>
  <c r="G10" i="1"/>
  <c r="G9" i="1"/>
  <c r="I9" i="1" s="1"/>
  <c r="G8" i="1"/>
  <c r="G7" i="1"/>
  <c r="I7" i="1" s="1"/>
  <c r="G6" i="1"/>
  <c r="I6" i="1" s="1"/>
  <c r="G5" i="1"/>
  <c r="I5" i="1" s="1"/>
  <c r="G4" i="1"/>
  <c r="I4" i="1" s="1"/>
  <c r="G3" i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F4" i="1"/>
  <c r="F3" i="1"/>
  <c r="H3" i="8" l="1"/>
  <c r="H8" i="8" s="1"/>
  <c r="G22" i="1"/>
  <c r="F22" i="1"/>
  <c r="H22" i="1"/>
  <c r="I3" i="1"/>
  <c r="I22" i="1" s="1"/>
  <c r="H5" i="5"/>
  <c r="I8" i="5"/>
  <c r="I23" i="5" s="1"/>
  <c r="H23" i="5"/>
  <c r="G8" i="8"/>
  <c r="G23" i="7"/>
  <c r="F23" i="7"/>
  <c r="F22" i="6"/>
</calcChain>
</file>

<file path=xl/sharedStrings.xml><?xml version="1.0" encoding="utf-8"?>
<sst xmlns="http://schemas.openxmlformats.org/spreadsheetml/2006/main" count="388" uniqueCount="184">
  <si>
    <t>Seq #</t>
  </si>
  <si>
    <t>Task</t>
  </si>
  <si>
    <t>LaborHours</t>
  </si>
  <si>
    <t>Part Type1</t>
  </si>
  <si>
    <t>PartType2</t>
  </si>
  <si>
    <t>Mechanics</t>
  </si>
  <si>
    <t>Required</t>
  </si>
  <si>
    <t>T-Clips to assembly</t>
  </si>
  <si>
    <t>Random.Triangular(1.98,2.2,2.42)</t>
  </si>
  <si>
    <t xml:space="preserve">Upper Web </t>
  </si>
  <si>
    <t xml:space="preserve">Upper TV Chord Assembly </t>
  </si>
  <si>
    <t>Random.Triangular(2.07,2.3,2.53)</t>
  </si>
  <si>
    <t>Random.Triangular(10.3,12.1,13.4)</t>
  </si>
  <si>
    <t>T-Clips indexed</t>
  </si>
  <si>
    <t>Random.Triangular(1.53,1.7,1.87)</t>
  </si>
  <si>
    <t>Random.Triangular(1.62,1.8,1.98)</t>
  </si>
  <si>
    <t>Random.Triangular(1,1.2,1.45)</t>
  </si>
  <si>
    <t xml:space="preserve">CRES Splices to the upper chord </t>
  </si>
  <si>
    <t>Random.Triangular(1.8,2,2.2)</t>
  </si>
  <si>
    <t xml:space="preserve">Load drill bars </t>
  </si>
  <si>
    <t>Random.Triangular(16,18,19)</t>
  </si>
  <si>
    <t>Random.Triangular(14,16,18)</t>
  </si>
  <si>
    <t xml:space="preserve">Drill holes to Upper T-Chord Assembly </t>
  </si>
  <si>
    <t>Random.Triangular(1.89,2.1,2.31)</t>
  </si>
  <si>
    <t>Random.Triangular(2.34,2.6,2.86)</t>
  </si>
  <si>
    <t>Remove Drill bars</t>
  </si>
  <si>
    <t>Random.Triangular(9,10,11)</t>
  </si>
  <si>
    <t>Random.Triangular(9,11,12)</t>
  </si>
  <si>
    <t>Temp fastener</t>
  </si>
  <si>
    <t>Random.Triangular(1.71,1.9,2.09)</t>
  </si>
  <si>
    <t>Random.Triangular(1.35,1.5,1.65)</t>
  </si>
  <si>
    <t>Random.Triangular(5,6.5,7.2)</t>
  </si>
  <si>
    <t>Disassemble and Deburr Chord</t>
  </si>
  <si>
    <t>Random.Triangular(0.72,0.8,0.88)</t>
  </si>
  <si>
    <t>Fillet Relef Bulkhead</t>
  </si>
  <si>
    <t>Random.Triangular(21,25.2,27)</t>
  </si>
  <si>
    <t>Random.Triangular(9,11.5,14)</t>
  </si>
  <si>
    <t>Inspect Holes</t>
  </si>
  <si>
    <t xml:space="preserve">Clean </t>
  </si>
  <si>
    <t>Random.Triangular(0.45,0.5,0.55)</t>
  </si>
  <si>
    <t xml:space="preserve"> LH BULKHEAD ASSY </t>
  </si>
  <si>
    <t>Random.Triangular(2.1,2.8,3.17)</t>
  </si>
  <si>
    <t>Operator turn table and rotate to position</t>
  </si>
  <si>
    <t>Random.Triangular(4.3,5.5,6.8)</t>
  </si>
  <si>
    <t>Scanner</t>
  </si>
  <si>
    <t>TV-CHORD ASSY RH and close clamps</t>
  </si>
  <si>
    <t xml:space="preserve">RH BULKHEAD ASSY </t>
  </si>
  <si>
    <t>Random.Triangular(1.4,1.7,1.8)</t>
  </si>
  <si>
    <t>Random.Triangular(16.2,18,19.8)</t>
  </si>
  <si>
    <t>Scan twice</t>
  </si>
  <si>
    <t>Position upper subassembly</t>
  </si>
  <si>
    <t>Random.Triangular(12,13.5,13.9)</t>
  </si>
  <si>
    <t>Random.Triangular(9,11.2,13.6)</t>
  </si>
  <si>
    <t>Rotate table</t>
  </si>
  <si>
    <t xml:space="preserve">Scan </t>
  </si>
  <si>
    <t>Random.Triangular(8.4,10.1,12.6)</t>
  </si>
  <si>
    <t>Drill Pilot hole</t>
  </si>
  <si>
    <t>Random.Triangular(0.9,1,1.1)</t>
  </si>
  <si>
    <t>Random.Triangular(1,2.2,4.1)</t>
  </si>
  <si>
    <t xml:space="preserve">Locate Fire Shield splice </t>
  </si>
  <si>
    <t>Random.Triangular(12,15,17)</t>
  </si>
  <si>
    <t>Random.Triangular(13.2,15,17.5)</t>
  </si>
  <si>
    <t xml:space="preserve">Install Tack Fastener </t>
  </si>
  <si>
    <t>Scan</t>
  </si>
  <si>
    <t>Random.Triangular(16,18,19.5)</t>
  </si>
  <si>
    <t>LH Chords</t>
  </si>
  <si>
    <t>Random.Triangular(1.4,1.9,2.3)</t>
  </si>
  <si>
    <t xml:space="preserve">Measure gap </t>
  </si>
  <si>
    <t>Random.Triangular(7,11,12.5)</t>
  </si>
  <si>
    <t>LWR BULKHEAD ASSY</t>
  </si>
  <si>
    <t>Drill LH and RH holes</t>
  </si>
  <si>
    <t>Install Tack Fastener</t>
  </si>
  <si>
    <t>Random.Triangular(1.33,2.25,2.98)</t>
  </si>
  <si>
    <t>Stack light turns Green</t>
  </si>
  <si>
    <t>Random.Triangular(4.2,5.4,6.23)</t>
  </si>
  <si>
    <t>Random.Triangular(2.1,2.45,2.58)</t>
  </si>
  <si>
    <t>Splice the LWR/RH Chords</t>
  </si>
  <si>
    <t>Random.Triangular(1.2,1.34,1.6)</t>
  </si>
  <si>
    <t>Tools dump Zone 2 Clamps</t>
  </si>
  <si>
    <t>Random.Triangular(1.2,3.3,4.1)</t>
  </si>
  <si>
    <t>Robot Syncing</t>
  </si>
  <si>
    <t>Random.Triangular(12,13.4,14.2)</t>
  </si>
  <si>
    <t>Random.Triangular(15,16.4,17)</t>
  </si>
  <si>
    <t>Drill 8 holes</t>
  </si>
  <si>
    <t>Tool dump Zone 4 Clamps</t>
  </si>
  <si>
    <t>Random.Triangular(2.44,2.65,3.6)</t>
  </si>
  <si>
    <t>Random.Triangular(4,6.3,7.1)</t>
  </si>
  <si>
    <t>Random.Triangular(3.3,5.4,6.1)</t>
  </si>
  <si>
    <t>Random.Triangular(10,12,15)</t>
  </si>
  <si>
    <t>Tool dump Zone 6 Clamps</t>
  </si>
  <si>
    <t>Random.Triangular(2,4.3,5.2)</t>
  </si>
  <si>
    <t>Drill 10 holes</t>
  </si>
  <si>
    <t>Tool dump Zone 8 Clamps</t>
  </si>
  <si>
    <t>Random.Triangular(16.25,18,19.5)</t>
  </si>
  <si>
    <t>Random.Triangular(1.44,2.3,3.1)</t>
  </si>
  <si>
    <t>Random.Triangular(3,4,5)</t>
  </si>
  <si>
    <t>Random.Triangular(3.5,4.5,5.5)</t>
  </si>
  <si>
    <t>Tool dump Zone 10 Clamps</t>
  </si>
  <si>
    <t xml:space="preserve">Operator Unloads </t>
  </si>
  <si>
    <t>Random.Triangular(1.88,2.62,2.82)</t>
  </si>
  <si>
    <t>Get inner assembly</t>
  </si>
  <si>
    <t>Random.Triangular(5.2,6.54,7.12)</t>
  </si>
  <si>
    <t>Close Inner Barrel Clamps</t>
  </si>
  <si>
    <t>Open Lift assist clamps</t>
  </si>
  <si>
    <t xml:space="preserve">Locate Aft Bulkhead Assy </t>
  </si>
  <si>
    <t xml:space="preserve">Close Manual clamps </t>
  </si>
  <si>
    <t>Locate &amp; close clip</t>
  </si>
  <si>
    <t>Random.Triangular(18,20,22)</t>
  </si>
  <si>
    <t>Random.Triangular(13.2,15.3,16)</t>
  </si>
  <si>
    <t>Drill Bulkhead to Inner Angle</t>
  </si>
  <si>
    <t>Random.Triangular(1.6,1.8,1.9)</t>
  </si>
  <si>
    <t>Open DJ clps</t>
  </si>
  <si>
    <t xml:space="preserve">Remove DJ </t>
  </si>
  <si>
    <t>Open manual clamps</t>
  </si>
  <si>
    <t>Remove BLKD assys</t>
  </si>
  <si>
    <t xml:space="preserve">Opens inner barrel </t>
  </si>
  <si>
    <t>Deburr AFT BLKD</t>
  </si>
  <si>
    <t>Inspection of Holes</t>
  </si>
  <si>
    <t xml:space="preserve">Attach MHE </t>
  </si>
  <si>
    <t>Press button</t>
  </si>
  <si>
    <t>Close clamps</t>
  </si>
  <si>
    <t>Unload inner barrel</t>
  </si>
  <si>
    <t xml:space="preserve">Move inner barrel </t>
  </si>
  <si>
    <t>Robot moves to position 1</t>
  </si>
  <si>
    <t xml:space="preserve">Turntable rotates </t>
  </si>
  <si>
    <t>Robot moves to its target position</t>
  </si>
  <si>
    <t>Perform local drill</t>
  </si>
  <si>
    <t>Random.Triangular(2.25,2.5,2.75)</t>
  </si>
  <si>
    <t>Secure final fastener</t>
  </si>
  <si>
    <t>Attach clips wing set RH</t>
  </si>
  <si>
    <t>Attach clips wing set LH</t>
  </si>
  <si>
    <t>Guide Splice Operation</t>
  </si>
  <si>
    <t xml:space="preserve">Drill holes to Guide Fittings </t>
  </si>
  <si>
    <t>Drill  holes into the Guide fittings</t>
  </si>
  <si>
    <t xml:space="preserve">Countersink hole locations in Guide Fittings </t>
  </si>
  <si>
    <t xml:space="preserve">Tv-Guide Fittings </t>
  </si>
  <si>
    <t>Straps into Guide Fittings</t>
  </si>
  <si>
    <t>Tiempo Esperado SA101</t>
  </si>
  <si>
    <t>Tiempo Esperado SA102</t>
  </si>
  <si>
    <t>Workcell1</t>
  </si>
  <si>
    <t>Workcell2</t>
  </si>
  <si>
    <t>Workcell3</t>
  </si>
  <si>
    <t>Workcell4</t>
  </si>
  <si>
    <t>Workcell5</t>
  </si>
  <si>
    <t>Carga Esperada SA101</t>
  </si>
  <si>
    <t>Carga Esperada SA102</t>
  </si>
  <si>
    <t>Total</t>
  </si>
  <si>
    <t>TOTAL</t>
  </si>
  <si>
    <t>Calculo 1</t>
  </si>
  <si>
    <t>Estimación de la duración esperada de cada grupo de tareas paralelas, considerando los tiempos de trabajo, las precedencias y la disponibilidad de ocho mecánicos por celda.</t>
  </si>
  <si>
    <t>Calculo 2</t>
  </si>
  <si>
    <t xml:space="preserve">Cálculo de la carga esperada de trabajo correspondiente a cada una de 
las cinco celdas de producción. </t>
  </si>
  <si>
    <t>Estimación de las horas-hombre esperadas requeridas para fabricar un avión SA101, un avión SA102.</t>
  </si>
  <si>
    <t>Horas-Hombre Esperado SA101</t>
  </si>
  <si>
    <t>Horas-Hombre Esperado SA102</t>
  </si>
  <si>
    <t>Secuencia</t>
  </si>
  <si>
    <t>Mecanicos Requeridos</t>
  </si>
  <si>
    <t>Duración SA101</t>
  </si>
  <si>
    <t>Duración SA102</t>
  </si>
  <si>
    <t>Calculo3</t>
  </si>
  <si>
    <t>Duración esperada total SA101:</t>
  </si>
  <si>
    <t>Duración esperada total SA102:</t>
  </si>
  <si>
    <t>horas</t>
  </si>
  <si>
    <t>Turno 1</t>
  </si>
  <si>
    <t>Turno 2</t>
  </si>
  <si>
    <t>Dia</t>
  </si>
  <si>
    <t>Semana 5 días</t>
  </si>
  <si>
    <t>Horas Efectivas</t>
  </si>
  <si>
    <t>Mecanicos por celdas</t>
  </si>
  <si>
    <t>Workcell 1</t>
  </si>
  <si>
    <t>Workcell 2</t>
  </si>
  <si>
    <t>Workcell 3</t>
  </si>
  <si>
    <t>Workcell 4</t>
  </si>
  <si>
    <t>Workcell 5</t>
  </si>
  <si>
    <t>dia = 7 + 8</t>
  </si>
  <si>
    <t>semana= 15*5</t>
  </si>
  <si>
    <t>Cada Workcell tiene una capacidad-teorica de</t>
  </si>
  <si>
    <t>120 horas-hombre por dia</t>
  </si>
  <si>
    <t>600 horas-hombre por semana</t>
  </si>
  <si>
    <t xml:space="preserve">Capacidad teórica total es de </t>
  </si>
  <si>
    <t>3000 horas-hombre por semana</t>
  </si>
  <si>
    <t>600 horas-hombre por dia</t>
  </si>
  <si>
    <t>Calculo4</t>
  </si>
  <si>
    <t>Cálculo de la capacidad teórica disponible por turno, día y semana, de acuerdo con los horarios de operación descritos en el caso.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</si>
</sst>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A8CDC"/>
        <bgColor indexed="64"/>
      </patternFill>
    </fill>
    <fill>
      <patternFill patternType="solid">
        <fgColor rgb="FF5A5DE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4" fillId="4" borderId="0" xfId="0" applyFont="1" applyFill="1"/>
    <xf numFmtId="164" fontId="0" fillId="3" borderId="9" xfId="0" applyNumberFormat="1" applyFill="1" applyBorder="1" applyAlignment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0" fillId="4" borderId="0" xfId="0" applyFill="1"/>
    <xf numFmtId="0" fontId="0" fillId="5" borderId="3" xfId="0" applyFill="1" applyBorder="1" applyAlignment="1">
      <alignment horizontal="right" vertical="center"/>
    </xf>
    <xf numFmtId="0" fontId="2" fillId="5" borderId="5" xfId="0" applyFont="1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11" xfId="0" applyFill="1" applyBorder="1" applyAlignment="1">
      <alignment horizontal="right" vertical="center"/>
    </xf>
    <xf numFmtId="164" fontId="0" fillId="5" borderId="9" xfId="0" applyNumberFormat="1" applyFill="1" applyBorder="1" applyAlignment="1">
      <alignment horizontal="center"/>
    </xf>
    <xf numFmtId="0" fontId="0" fillId="6" borderId="3" xfId="0" applyFill="1" applyBorder="1" applyAlignment="1">
      <alignment horizontal="right" vertical="center"/>
    </xf>
    <xf numFmtId="0" fontId="2" fillId="6" borderId="5" xfId="0" applyFont="1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11" xfId="0" applyFill="1" applyBorder="1" applyAlignment="1">
      <alignment horizontal="right" vertical="center"/>
    </xf>
    <xf numFmtId="164" fontId="0" fillId="6" borderId="9" xfId="0" applyNumberFormat="1" applyFill="1" applyBorder="1" applyAlignment="1">
      <alignment horizontal="center"/>
    </xf>
    <xf numFmtId="0" fontId="0" fillId="7" borderId="3" xfId="0" applyFill="1" applyBorder="1" applyAlignment="1">
      <alignment horizontal="right" vertical="center"/>
    </xf>
    <xf numFmtId="0" fontId="2" fillId="7" borderId="5" xfId="0" applyFont="1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11" xfId="0" applyFill="1" applyBorder="1" applyAlignment="1">
      <alignment horizontal="right" vertical="center"/>
    </xf>
    <xf numFmtId="164" fontId="0" fillId="7" borderId="9" xfId="0" applyNumberFormat="1" applyFill="1" applyBorder="1" applyAlignment="1">
      <alignment horizontal="center"/>
    </xf>
    <xf numFmtId="0" fontId="0" fillId="8" borderId="3" xfId="0" applyFill="1" applyBorder="1" applyAlignment="1">
      <alignment horizontal="right" vertical="center"/>
    </xf>
    <xf numFmtId="0" fontId="2" fillId="8" borderId="5" xfId="0" applyFont="1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11" xfId="0" applyFill="1" applyBorder="1" applyAlignment="1">
      <alignment horizontal="right" vertical="center"/>
    </xf>
    <xf numFmtId="164" fontId="0" fillId="8" borderId="9" xfId="0" applyNumberFormat="1" applyFill="1" applyBorder="1" applyAlignment="1">
      <alignment horizontal="center"/>
    </xf>
    <xf numFmtId="0" fontId="0" fillId="9" borderId="3" xfId="0" applyFill="1" applyBorder="1" applyAlignment="1">
      <alignment horizontal="right" vertical="center"/>
    </xf>
    <xf numFmtId="0" fontId="2" fillId="9" borderId="5" xfId="0" applyFont="1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9" borderId="11" xfId="0" applyFill="1" applyBorder="1" applyAlignment="1">
      <alignment horizontal="right" vertical="center"/>
    </xf>
    <xf numFmtId="164" fontId="0" fillId="9" borderId="9" xfId="0" applyNumberFormat="1" applyFill="1" applyBorder="1" applyAlignment="1">
      <alignment horizontal="center"/>
    </xf>
    <xf numFmtId="0" fontId="0" fillId="10" borderId="3" xfId="0" applyFill="1" applyBorder="1" applyAlignment="1">
      <alignment horizontal="right" vertical="center"/>
    </xf>
    <xf numFmtId="0" fontId="2" fillId="10" borderId="5" xfId="0" applyFont="1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10" borderId="11" xfId="0" applyFill="1" applyBorder="1" applyAlignment="1">
      <alignment horizontal="right" vertical="center"/>
    </xf>
    <xf numFmtId="164" fontId="0" fillId="10" borderId="9" xfId="0" applyNumberFormat="1" applyFill="1" applyBorder="1" applyAlignment="1">
      <alignment horizontal="center"/>
    </xf>
    <xf numFmtId="0" fontId="0" fillId="11" borderId="3" xfId="0" applyFill="1" applyBorder="1" applyAlignment="1">
      <alignment horizontal="right" vertical="center"/>
    </xf>
    <xf numFmtId="0" fontId="2" fillId="11" borderId="5" xfId="0" applyFont="1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11" borderId="11" xfId="0" applyFill="1" applyBorder="1" applyAlignment="1">
      <alignment horizontal="right" vertical="center"/>
    </xf>
    <xf numFmtId="164" fontId="0" fillId="11" borderId="9" xfId="0" applyNumberFormat="1" applyFill="1" applyBorder="1" applyAlignment="1">
      <alignment horizontal="center"/>
    </xf>
    <xf numFmtId="0" fontId="0" fillId="12" borderId="3" xfId="0" applyFill="1" applyBorder="1" applyAlignment="1">
      <alignment horizontal="right" vertical="center"/>
    </xf>
    <xf numFmtId="0" fontId="2" fillId="12" borderId="5" xfId="0" applyFont="1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0" fillId="12" borderId="11" xfId="0" applyFill="1" applyBorder="1" applyAlignment="1">
      <alignment horizontal="right" vertical="center"/>
    </xf>
    <xf numFmtId="164" fontId="0" fillId="12" borderId="9" xfId="0" applyNumberFormat="1" applyFill="1" applyBorder="1" applyAlignment="1">
      <alignment horizontal="center"/>
    </xf>
    <xf numFmtId="0" fontId="2" fillId="7" borderId="1" xfId="0" applyFont="1" applyFill="1" applyBorder="1" applyAlignment="1">
      <alignment vertical="center"/>
    </xf>
    <xf numFmtId="0" fontId="0" fillId="7" borderId="5" xfId="0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0" fillId="5" borderId="5" xfId="0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0" fillId="6" borderId="5" xfId="0" applyFill="1" applyBorder="1" applyAlignment="1">
      <alignment horizontal="right" vertical="center"/>
    </xf>
    <xf numFmtId="0" fontId="0" fillId="13" borderId="3" xfId="0" applyFill="1" applyBorder="1" applyAlignment="1">
      <alignment horizontal="right" vertical="center"/>
    </xf>
    <xf numFmtId="0" fontId="2" fillId="13" borderId="5" xfId="0" applyFont="1" applyFill="1" applyBorder="1" applyAlignment="1">
      <alignment vertical="center"/>
    </xf>
    <xf numFmtId="0" fontId="0" fillId="13" borderId="5" xfId="0" applyFill="1" applyBorder="1" applyAlignment="1">
      <alignment vertical="center"/>
    </xf>
    <xf numFmtId="0" fontId="0" fillId="13" borderId="11" xfId="0" applyFill="1" applyBorder="1" applyAlignment="1">
      <alignment horizontal="right" vertical="center"/>
    </xf>
    <xf numFmtId="164" fontId="0" fillId="13" borderId="9" xfId="0" applyNumberFormat="1" applyFill="1" applyBorder="1" applyAlignment="1">
      <alignment horizontal="center"/>
    </xf>
    <xf numFmtId="0" fontId="0" fillId="14" borderId="3" xfId="0" applyFill="1" applyBorder="1" applyAlignment="1">
      <alignment horizontal="right" vertical="center"/>
    </xf>
    <xf numFmtId="0" fontId="2" fillId="14" borderId="5" xfId="0" applyFont="1" applyFill="1" applyBorder="1" applyAlignment="1">
      <alignment vertical="center"/>
    </xf>
    <xf numFmtId="0" fontId="0" fillId="14" borderId="5" xfId="0" applyFill="1" applyBorder="1" applyAlignment="1">
      <alignment vertical="center"/>
    </xf>
    <xf numFmtId="0" fontId="0" fillId="14" borderId="11" xfId="0" applyFill="1" applyBorder="1" applyAlignment="1">
      <alignment horizontal="right" vertical="center"/>
    </xf>
    <xf numFmtId="164" fontId="0" fillId="14" borderId="9" xfId="0" applyNumberFormat="1" applyFill="1" applyBorder="1" applyAlignment="1">
      <alignment horizontal="center"/>
    </xf>
    <xf numFmtId="0" fontId="0" fillId="4" borderId="3" xfId="0" applyFill="1" applyBorder="1" applyAlignment="1">
      <alignment horizontal="right" vertical="center"/>
    </xf>
    <xf numFmtId="0" fontId="2" fillId="4" borderId="5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11" xfId="0" applyFill="1" applyBorder="1" applyAlignment="1">
      <alignment horizontal="right" vertical="center"/>
    </xf>
    <xf numFmtId="164" fontId="0" fillId="4" borderId="9" xfId="0" applyNumberFormat="1" applyFill="1" applyBorder="1" applyAlignment="1">
      <alignment horizontal="center"/>
    </xf>
    <xf numFmtId="0" fontId="2" fillId="8" borderId="1" xfId="0" applyFont="1" applyFill="1" applyBorder="1" applyAlignment="1">
      <alignment vertical="center"/>
    </xf>
    <xf numFmtId="0" fontId="0" fillId="8" borderId="5" xfId="0" applyFill="1" applyBorder="1" applyAlignment="1">
      <alignment horizontal="right" vertical="center"/>
    </xf>
    <xf numFmtId="0" fontId="2" fillId="9" borderId="1" xfId="0" applyFont="1" applyFill="1" applyBorder="1" applyAlignment="1">
      <alignment vertical="center"/>
    </xf>
    <xf numFmtId="0" fontId="0" fillId="9" borderId="5" xfId="0" applyFill="1" applyBorder="1" applyAlignment="1">
      <alignment horizontal="right" vertical="center"/>
    </xf>
    <xf numFmtId="0" fontId="2" fillId="10" borderId="1" xfId="0" applyFont="1" applyFill="1" applyBorder="1" applyAlignment="1">
      <alignment vertical="center"/>
    </xf>
    <xf numFmtId="0" fontId="0" fillId="10" borderId="5" xfId="0" applyFill="1" applyBorder="1" applyAlignment="1">
      <alignment horizontal="right" vertical="center"/>
    </xf>
    <xf numFmtId="0" fontId="2" fillId="11" borderId="1" xfId="0" applyFont="1" applyFill="1" applyBorder="1" applyAlignment="1">
      <alignment vertical="center"/>
    </xf>
    <xf numFmtId="0" fontId="0" fillId="11" borderId="5" xfId="0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0" fillId="4" borderId="5" xfId="0" applyFill="1" applyBorder="1" applyAlignment="1">
      <alignment horizontal="right" vertical="center"/>
    </xf>
    <xf numFmtId="0" fontId="2" fillId="12" borderId="1" xfId="0" applyFont="1" applyFill="1" applyBorder="1" applyAlignment="1">
      <alignment vertical="center"/>
    </xf>
    <xf numFmtId="0" fontId="0" fillId="12" borderId="5" xfId="0" applyFill="1" applyBorder="1" applyAlignment="1">
      <alignment horizontal="right" vertical="center"/>
    </xf>
    <xf numFmtId="0" fontId="2" fillId="13" borderId="1" xfId="0" applyFont="1" applyFill="1" applyBorder="1" applyAlignment="1">
      <alignment vertical="center"/>
    </xf>
    <xf numFmtId="0" fontId="0" fillId="13" borderId="5" xfId="0" applyFill="1" applyBorder="1" applyAlignment="1">
      <alignment horizontal="right" vertical="center"/>
    </xf>
    <xf numFmtId="0" fontId="2" fillId="14" borderId="1" xfId="0" applyFont="1" applyFill="1" applyBorder="1" applyAlignment="1">
      <alignment vertical="center"/>
    </xf>
    <xf numFmtId="0" fontId="0" fillId="14" borderId="5" xfId="0" applyFill="1" applyBorder="1" applyAlignment="1">
      <alignment horizontal="right" vertical="center"/>
    </xf>
    <xf numFmtId="164" fontId="0" fillId="14" borderId="9" xfId="0" applyNumberFormat="1" applyFont="1" applyFill="1" applyBorder="1" applyAlignment="1">
      <alignment horizontal="center"/>
    </xf>
    <xf numFmtId="0" fontId="0" fillId="5" borderId="0" xfId="0" applyFill="1"/>
    <xf numFmtId="0" fontId="3" fillId="4" borderId="0" xfId="0" applyFont="1" applyFill="1"/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A5DE4"/>
      <color rgb="FFBA8CDC"/>
      <color rgb="FF159BFF"/>
      <color rgb="FF37A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opLeftCell="A13" zoomScale="117" zoomScaleNormal="232" workbookViewId="0">
      <selection activeCell="C36" sqref="C36"/>
    </sheetView>
  </sheetViews>
  <sheetFormatPr baseColWidth="10" defaultColWidth="9.140625" defaultRowHeight="15" x14ac:dyDescent="0.25"/>
  <cols>
    <col min="2" max="2" width="39.28515625" bestFit="1" customWidth="1"/>
    <col min="3" max="4" width="31.7109375" bestFit="1" customWidth="1"/>
    <col min="5" max="5" width="10.42578125" bestFit="1" customWidth="1"/>
    <col min="6" max="6" width="19" customWidth="1"/>
    <col min="7" max="7" width="16.85546875" customWidth="1"/>
    <col min="8" max="8" width="16.28515625" customWidth="1"/>
    <col min="9" max="9" width="18.85546875" customWidth="1"/>
  </cols>
  <sheetData>
    <row r="1" spans="1:9" x14ac:dyDescent="0.25">
      <c r="A1" s="104" t="s">
        <v>0</v>
      </c>
      <c r="B1" s="104" t="s">
        <v>1</v>
      </c>
      <c r="C1" s="2" t="s">
        <v>2</v>
      </c>
      <c r="D1" s="2" t="s">
        <v>2</v>
      </c>
      <c r="E1" s="7" t="s">
        <v>5</v>
      </c>
      <c r="F1" s="103" t="s">
        <v>137</v>
      </c>
      <c r="G1" s="103" t="s">
        <v>138</v>
      </c>
      <c r="H1" s="103" t="s">
        <v>153</v>
      </c>
      <c r="I1" s="103" t="s">
        <v>154</v>
      </c>
    </row>
    <row r="2" spans="1:9" ht="15.75" thickBot="1" x14ac:dyDescent="0.3">
      <c r="A2" s="105"/>
      <c r="B2" s="105"/>
      <c r="C2" s="3" t="s">
        <v>3</v>
      </c>
      <c r="D2" s="3" t="s">
        <v>4</v>
      </c>
      <c r="E2" s="8" t="s">
        <v>6</v>
      </c>
      <c r="F2" s="103"/>
      <c r="G2" s="103"/>
      <c r="H2" s="103"/>
      <c r="I2" s="103"/>
    </row>
    <row r="3" spans="1:9" ht="15.75" thickBot="1" x14ac:dyDescent="0.3">
      <c r="A3" s="23">
        <v>1</v>
      </c>
      <c r="B3" s="24" t="s">
        <v>7</v>
      </c>
      <c r="C3" s="25" t="s">
        <v>8</v>
      </c>
      <c r="D3" s="25" t="s">
        <v>8</v>
      </c>
      <c r="E3" s="26">
        <v>2</v>
      </c>
      <c r="F3" s="27">
        <f>(1.98+2.2+2.42)/3</f>
        <v>2.1999999999999997</v>
      </c>
      <c r="G3" s="27">
        <f>(1.98+2.2+2.42)/3</f>
        <v>2.1999999999999997</v>
      </c>
      <c r="H3" s="27">
        <f t="shared" ref="H3:H8" si="0">F3*E3</f>
        <v>4.3999999999999995</v>
      </c>
      <c r="I3" s="27">
        <f>G3*E3</f>
        <v>4.3999999999999995</v>
      </c>
    </row>
    <row r="4" spans="1:9" ht="15.75" thickBot="1" x14ac:dyDescent="0.3">
      <c r="A4" s="23">
        <v>1</v>
      </c>
      <c r="B4" s="24" t="s">
        <v>9</v>
      </c>
      <c r="C4" s="25" t="s">
        <v>8</v>
      </c>
      <c r="D4" s="25" t="s">
        <v>8</v>
      </c>
      <c r="E4" s="26">
        <v>3</v>
      </c>
      <c r="F4" s="27">
        <f>(1.98+2.2+2.42)/3</f>
        <v>2.1999999999999997</v>
      </c>
      <c r="G4" s="27">
        <f>(1.98+2.2+2.42)/3</f>
        <v>2.1999999999999997</v>
      </c>
      <c r="H4" s="27">
        <f t="shared" si="0"/>
        <v>6.6</v>
      </c>
      <c r="I4" s="27">
        <f>G4*E4</f>
        <v>6.6</v>
      </c>
    </row>
    <row r="5" spans="1:9" ht="15.75" thickBot="1" x14ac:dyDescent="0.3">
      <c r="A5" s="23">
        <v>1</v>
      </c>
      <c r="B5" s="24" t="s">
        <v>10</v>
      </c>
      <c r="C5" s="25" t="s">
        <v>11</v>
      </c>
      <c r="D5" s="25" t="s">
        <v>11</v>
      </c>
      <c r="E5" s="26">
        <v>2</v>
      </c>
      <c r="F5" s="27">
        <f>(2.07+2.3+2.53)/3</f>
        <v>2.2999999999999994</v>
      </c>
      <c r="G5" s="27">
        <f>(2.07+2.3+2.53)/3</f>
        <v>2.2999999999999994</v>
      </c>
      <c r="H5" s="27">
        <f t="shared" si="0"/>
        <v>4.5999999999999988</v>
      </c>
      <c r="I5" s="27">
        <f>G5*E5</f>
        <v>4.5999999999999988</v>
      </c>
    </row>
    <row r="6" spans="1:9" ht="15.75" thickBot="1" x14ac:dyDescent="0.3">
      <c r="A6" s="28">
        <v>2</v>
      </c>
      <c r="B6" s="29" t="s">
        <v>135</v>
      </c>
      <c r="C6" s="30" t="s">
        <v>12</v>
      </c>
      <c r="D6" s="30" t="s">
        <v>12</v>
      </c>
      <c r="E6" s="31">
        <v>3</v>
      </c>
      <c r="F6" s="32">
        <f>(10.3+12.1+13.4)/3</f>
        <v>11.933333333333332</v>
      </c>
      <c r="G6" s="32">
        <f>(10.3+12.1+13.4)/3</f>
        <v>11.933333333333332</v>
      </c>
      <c r="H6" s="32">
        <f t="shared" si="0"/>
        <v>35.799999999999997</v>
      </c>
      <c r="I6" s="32">
        <f t="shared" ref="I6:I20" si="1">G6*E6</f>
        <v>35.799999999999997</v>
      </c>
    </row>
    <row r="7" spans="1:9" ht="15.75" thickBot="1" x14ac:dyDescent="0.3">
      <c r="A7" s="28">
        <v>2</v>
      </c>
      <c r="B7" s="29" t="s">
        <v>13</v>
      </c>
      <c r="C7" s="30" t="s">
        <v>14</v>
      </c>
      <c r="D7" s="30" t="s">
        <v>14</v>
      </c>
      <c r="E7" s="31">
        <v>2</v>
      </c>
      <c r="F7" s="32">
        <f>(1.53+1.7+1.87)/3</f>
        <v>1.7</v>
      </c>
      <c r="G7" s="32">
        <f>(1.53+1.7+1.87)/3</f>
        <v>1.7</v>
      </c>
      <c r="H7" s="32">
        <f t="shared" si="0"/>
        <v>3.4</v>
      </c>
      <c r="I7" s="32">
        <f t="shared" si="1"/>
        <v>3.4</v>
      </c>
    </row>
    <row r="8" spans="1:9" ht="15.75" thickBot="1" x14ac:dyDescent="0.3">
      <c r="A8" s="33">
        <v>3</v>
      </c>
      <c r="B8" s="34" t="s">
        <v>131</v>
      </c>
      <c r="C8" s="35" t="s">
        <v>15</v>
      </c>
      <c r="D8" s="35" t="s">
        <v>16</v>
      </c>
      <c r="E8" s="36">
        <v>2</v>
      </c>
      <c r="F8" s="37">
        <f>(1.62+1.8+1.98)/3</f>
        <v>1.8</v>
      </c>
      <c r="G8" s="37">
        <f>(1+1.2+1.45)/3</f>
        <v>1.2166666666666668</v>
      </c>
      <c r="H8" s="37">
        <f t="shared" si="0"/>
        <v>3.6</v>
      </c>
      <c r="I8" s="37">
        <f>G8*E8</f>
        <v>2.4333333333333336</v>
      </c>
    </row>
    <row r="9" spans="1:9" ht="15.75" thickBot="1" x14ac:dyDescent="0.3">
      <c r="A9" s="38">
        <v>4</v>
      </c>
      <c r="B9" s="39" t="s">
        <v>17</v>
      </c>
      <c r="C9" s="40" t="s">
        <v>18</v>
      </c>
      <c r="D9" s="40" t="s">
        <v>18</v>
      </c>
      <c r="E9" s="41">
        <v>3</v>
      </c>
      <c r="F9" s="42">
        <f>(1.8+2+2.2)/3</f>
        <v>2</v>
      </c>
      <c r="G9" s="42">
        <f>(1.8+2+2.2)/3</f>
        <v>2</v>
      </c>
      <c r="H9" s="42">
        <f t="shared" ref="H9:H21" si="2">F9*E9</f>
        <v>6</v>
      </c>
      <c r="I9" s="42">
        <f t="shared" si="1"/>
        <v>6</v>
      </c>
    </row>
    <row r="10" spans="1:9" ht="15.75" thickBot="1" x14ac:dyDescent="0.3">
      <c r="A10" s="38">
        <v>4</v>
      </c>
      <c r="B10" s="39" t="s">
        <v>19</v>
      </c>
      <c r="C10" s="40" t="s">
        <v>20</v>
      </c>
      <c r="D10" s="40" t="s">
        <v>21</v>
      </c>
      <c r="E10" s="41">
        <v>2</v>
      </c>
      <c r="F10" s="42">
        <f>(16+18+19)/3</f>
        <v>17.666666666666668</v>
      </c>
      <c r="G10" s="42">
        <f>(14+16+18)/3</f>
        <v>16</v>
      </c>
      <c r="H10" s="42">
        <f t="shared" si="2"/>
        <v>35.333333333333336</v>
      </c>
      <c r="I10" s="42">
        <f t="shared" si="1"/>
        <v>32</v>
      </c>
    </row>
    <row r="11" spans="1:9" ht="15.75" thickBot="1" x14ac:dyDescent="0.3">
      <c r="A11" s="38">
        <v>4</v>
      </c>
      <c r="B11" s="39" t="s">
        <v>22</v>
      </c>
      <c r="C11" s="40" t="s">
        <v>23</v>
      </c>
      <c r="D11" s="40" t="s">
        <v>23</v>
      </c>
      <c r="E11" s="41">
        <v>2</v>
      </c>
      <c r="F11" s="42">
        <f>(1.89+2.1+2.31)/3</f>
        <v>2.1</v>
      </c>
      <c r="G11" s="42">
        <f>(1.89+2.1+2.31)/3</f>
        <v>2.1</v>
      </c>
      <c r="H11" s="42">
        <f t="shared" si="2"/>
        <v>4.2</v>
      </c>
      <c r="I11" s="42">
        <f t="shared" si="1"/>
        <v>4.2</v>
      </c>
    </row>
    <row r="12" spans="1:9" ht="15.75" thickBot="1" x14ac:dyDescent="0.3">
      <c r="A12" s="43">
        <v>5</v>
      </c>
      <c r="B12" s="44" t="s">
        <v>132</v>
      </c>
      <c r="C12" s="45" t="s">
        <v>24</v>
      </c>
      <c r="D12" s="45" t="s">
        <v>24</v>
      </c>
      <c r="E12" s="46">
        <v>2</v>
      </c>
      <c r="F12" s="47">
        <f>(2.34+2.6+2.86)/3</f>
        <v>2.5999999999999996</v>
      </c>
      <c r="G12" s="47">
        <f>(2.34+2.6+2.86)/3</f>
        <v>2.5999999999999996</v>
      </c>
      <c r="H12" s="47">
        <f t="shared" si="2"/>
        <v>5.1999999999999993</v>
      </c>
      <c r="I12" s="47">
        <f t="shared" si="1"/>
        <v>5.1999999999999993</v>
      </c>
    </row>
    <row r="13" spans="1:9" ht="15.75" thickBot="1" x14ac:dyDescent="0.3">
      <c r="A13" s="48">
        <v>6</v>
      </c>
      <c r="B13" s="49" t="s">
        <v>25</v>
      </c>
      <c r="C13" s="50" t="s">
        <v>26</v>
      </c>
      <c r="D13" s="50" t="s">
        <v>27</v>
      </c>
      <c r="E13" s="51">
        <v>4</v>
      </c>
      <c r="F13" s="52">
        <f>(9+10+11)/3</f>
        <v>10</v>
      </c>
      <c r="G13" s="52">
        <f>(9+11+12)/3</f>
        <v>10.666666666666666</v>
      </c>
      <c r="H13" s="52">
        <f t="shared" si="2"/>
        <v>40</v>
      </c>
      <c r="I13" s="52">
        <f>G13*E13</f>
        <v>42.666666666666664</v>
      </c>
    </row>
    <row r="14" spans="1:9" ht="15.75" thickBot="1" x14ac:dyDescent="0.3">
      <c r="A14" s="48">
        <v>6</v>
      </c>
      <c r="B14" s="49" t="s">
        <v>28</v>
      </c>
      <c r="C14" s="50" t="s">
        <v>29</v>
      </c>
      <c r="D14" s="50" t="s">
        <v>29</v>
      </c>
      <c r="E14" s="51">
        <v>2</v>
      </c>
      <c r="F14" s="52">
        <f>(1.71+1.9+2.09)/3</f>
        <v>1.8999999999999997</v>
      </c>
      <c r="G14" s="52">
        <f>(1.71+1.9+2.09)/3</f>
        <v>1.8999999999999997</v>
      </c>
      <c r="H14" s="52">
        <f t="shared" si="2"/>
        <v>3.7999999999999994</v>
      </c>
      <c r="I14" s="52">
        <f t="shared" si="1"/>
        <v>3.7999999999999994</v>
      </c>
    </row>
    <row r="15" spans="1:9" ht="15.75" thickBot="1" x14ac:dyDescent="0.3">
      <c r="A15" s="53">
        <v>7</v>
      </c>
      <c r="B15" s="54" t="s">
        <v>133</v>
      </c>
      <c r="C15" s="55" t="s">
        <v>30</v>
      </c>
      <c r="D15" s="55" t="s">
        <v>30</v>
      </c>
      <c r="E15" s="56">
        <v>5</v>
      </c>
      <c r="F15" s="57">
        <f>(1.35+1.5+1.65)/3</f>
        <v>1.5</v>
      </c>
      <c r="G15" s="57">
        <f>(1.35+1.5+1.65)/3</f>
        <v>1.5</v>
      </c>
      <c r="H15" s="57">
        <f t="shared" si="2"/>
        <v>7.5</v>
      </c>
      <c r="I15" s="57">
        <f t="shared" si="1"/>
        <v>7.5</v>
      </c>
    </row>
    <row r="16" spans="1:9" ht="15.75" thickBot="1" x14ac:dyDescent="0.3">
      <c r="A16" s="53">
        <v>7</v>
      </c>
      <c r="B16" s="54" t="s">
        <v>136</v>
      </c>
      <c r="C16" s="55" t="s">
        <v>31</v>
      </c>
      <c r="D16" s="55" t="s">
        <v>31</v>
      </c>
      <c r="E16" s="56">
        <v>2</v>
      </c>
      <c r="F16" s="57">
        <f>(5+6.5+7.2)/3</f>
        <v>6.2333333333333334</v>
      </c>
      <c r="G16" s="57">
        <f>(5+6.5+7.2)/3</f>
        <v>6.2333333333333334</v>
      </c>
      <c r="H16" s="57">
        <f t="shared" si="2"/>
        <v>12.466666666666667</v>
      </c>
      <c r="I16" s="57">
        <f t="shared" si="1"/>
        <v>12.466666666666667</v>
      </c>
    </row>
    <row r="17" spans="1:9" ht="15.75" thickBot="1" x14ac:dyDescent="0.3">
      <c r="A17" s="79">
        <v>8</v>
      </c>
      <c r="B17" s="80" t="s">
        <v>32</v>
      </c>
      <c r="C17" s="81" t="s">
        <v>33</v>
      </c>
      <c r="D17" s="81" t="s">
        <v>33</v>
      </c>
      <c r="E17" s="82">
        <v>2</v>
      </c>
      <c r="F17" s="83">
        <f>(0.72+0.8+0.88)/3</f>
        <v>0.79999999999999993</v>
      </c>
      <c r="G17" s="83">
        <f>(0.72+0.8+0.88)/3</f>
        <v>0.79999999999999993</v>
      </c>
      <c r="H17" s="83">
        <f>F17*E17</f>
        <v>1.5999999999999999</v>
      </c>
      <c r="I17" s="83">
        <f t="shared" si="1"/>
        <v>1.5999999999999999</v>
      </c>
    </row>
    <row r="18" spans="1:9" ht="15.75" thickBot="1" x14ac:dyDescent="0.3">
      <c r="A18" s="58">
        <v>9</v>
      </c>
      <c r="B18" s="59" t="s">
        <v>34</v>
      </c>
      <c r="C18" s="60" t="s">
        <v>35</v>
      </c>
      <c r="D18" s="60" t="s">
        <v>36</v>
      </c>
      <c r="E18" s="61">
        <v>3</v>
      </c>
      <c r="F18" s="62">
        <f>(21+25.2+27)/3</f>
        <v>24.400000000000002</v>
      </c>
      <c r="G18" s="62">
        <f>(9+11.5+14)/3</f>
        <v>11.5</v>
      </c>
      <c r="H18" s="62">
        <f t="shared" si="2"/>
        <v>73.2</v>
      </c>
      <c r="I18" s="62">
        <f t="shared" si="1"/>
        <v>34.5</v>
      </c>
    </row>
    <row r="19" spans="1:9" ht="15.75" thickBot="1" x14ac:dyDescent="0.3">
      <c r="A19" s="69">
        <v>10</v>
      </c>
      <c r="B19" s="70" t="s">
        <v>134</v>
      </c>
      <c r="C19" s="71" t="s">
        <v>14</v>
      </c>
      <c r="D19" s="71" t="s">
        <v>14</v>
      </c>
      <c r="E19" s="72">
        <v>2</v>
      </c>
      <c r="F19" s="73">
        <f>(1.53+1.7+1.87)/3</f>
        <v>1.7</v>
      </c>
      <c r="G19" s="73">
        <f>(1.53+1.7+1.87)/3</f>
        <v>1.7</v>
      </c>
      <c r="H19" s="73">
        <f>F19*E19</f>
        <v>3.4</v>
      </c>
      <c r="I19" s="73">
        <f>G19*E19</f>
        <v>3.4</v>
      </c>
    </row>
    <row r="20" spans="1:9" ht="15.75" thickBot="1" x14ac:dyDescent="0.3">
      <c r="A20" s="69">
        <v>10</v>
      </c>
      <c r="B20" s="70" t="s">
        <v>37</v>
      </c>
      <c r="C20" s="71" t="s">
        <v>33</v>
      </c>
      <c r="D20" s="71" t="s">
        <v>33</v>
      </c>
      <c r="E20" s="72">
        <v>2</v>
      </c>
      <c r="F20" s="73">
        <f>(0.72+0.8+0.88)/3</f>
        <v>0.79999999999999993</v>
      </c>
      <c r="G20" s="73">
        <f>(0.72+0.8+0.88)/3</f>
        <v>0.79999999999999993</v>
      </c>
      <c r="H20" s="73">
        <f t="shared" si="2"/>
        <v>1.5999999999999999</v>
      </c>
      <c r="I20" s="73">
        <f t="shared" si="1"/>
        <v>1.5999999999999999</v>
      </c>
    </row>
    <row r="21" spans="1:9" ht="15.75" thickBot="1" x14ac:dyDescent="0.3">
      <c r="A21" s="74">
        <v>11</v>
      </c>
      <c r="B21" s="75" t="s">
        <v>38</v>
      </c>
      <c r="C21" s="76" t="s">
        <v>39</v>
      </c>
      <c r="D21" s="76" t="s">
        <v>39</v>
      </c>
      <c r="E21" s="77">
        <v>4</v>
      </c>
      <c r="F21" s="78">
        <f>(0.45+0.5+0.55)/3</f>
        <v>0.5</v>
      </c>
      <c r="G21" s="78">
        <f>(0.45+0.5+0.55)/3</f>
        <v>0.5</v>
      </c>
      <c r="H21" s="78">
        <f t="shared" si="2"/>
        <v>2</v>
      </c>
      <c r="I21" s="78">
        <f>G21*E21</f>
        <v>2</v>
      </c>
    </row>
    <row r="22" spans="1:9" x14ac:dyDescent="0.25">
      <c r="F22" s="13">
        <f>SUM(F3:F21)</f>
        <v>94.333333333333329</v>
      </c>
      <c r="G22" s="13">
        <f>SUM(G3:G21)</f>
        <v>79.849999999999994</v>
      </c>
      <c r="H22" s="13">
        <f>SUM(H3:H21)</f>
        <v>254.7</v>
      </c>
      <c r="I22" s="13">
        <f>SUM(I3:I21)</f>
        <v>214.16666666666666</v>
      </c>
    </row>
    <row r="24" spans="1:9" x14ac:dyDescent="0.25">
      <c r="A24" s="9" t="s">
        <v>155</v>
      </c>
      <c r="B24" s="9" t="s">
        <v>156</v>
      </c>
      <c r="C24" s="9" t="s">
        <v>157</v>
      </c>
      <c r="D24" s="9" t="s">
        <v>158</v>
      </c>
    </row>
    <row r="25" spans="1:9" x14ac:dyDescent="0.25">
      <c r="A25" s="10">
        <v>1</v>
      </c>
      <c r="B25" s="10">
        <f>SUM(E3:E5)</f>
        <v>7</v>
      </c>
      <c r="C25" s="10">
        <f>MAX(2.2,2.2,2.3)</f>
        <v>2.2999999999999998</v>
      </c>
      <c r="D25" s="10">
        <f>MAX(2.2,2.2,2.3)</f>
        <v>2.2999999999999998</v>
      </c>
    </row>
    <row r="26" spans="1:9" x14ac:dyDescent="0.25">
      <c r="A26" s="10">
        <v>2</v>
      </c>
      <c r="B26" s="10">
        <f>SUM(E6:E7)</f>
        <v>5</v>
      </c>
      <c r="C26" s="10">
        <f>MAX(11.9333,1.7)</f>
        <v>11.933299999999999</v>
      </c>
      <c r="D26" s="10">
        <f>MAX(11.9333,1.7)</f>
        <v>11.933299999999999</v>
      </c>
    </row>
    <row r="27" spans="1:9" x14ac:dyDescent="0.25">
      <c r="A27" s="10">
        <v>3</v>
      </c>
      <c r="B27" s="10">
        <f>SUM(E8)</f>
        <v>2</v>
      </c>
      <c r="C27" s="10">
        <f>MAX(1.8)</f>
        <v>1.8</v>
      </c>
      <c r="D27" s="10">
        <f>MAX(1.2167)</f>
        <v>1.2166999999999999</v>
      </c>
    </row>
    <row r="28" spans="1:9" x14ac:dyDescent="0.25">
      <c r="A28" s="10">
        <v>4</v>
      </c>
      <c r="B28" s="10">
        <f>SUM(E9:E11)</f>
        <v>7</v>
      </c>
      <c r="C28" s="10">
        <f>MAX(2,17.6667,2.1)</f>
        <v>17.666699999999999</v>
      </c>
      <c r="D28" s="10">
        <f>MAX(2,16,2.1)</f>
        <v>16</v>
      </c>
    </row>
    <row r="29" spans="1:9" x14ac:dyDescent="0.25">
      <c r="A29" s="10">
        <v>5</v>
      </c>
      <c r="B29" s="10">
        <f>SUM(E12)</f>
        <v>2</v>
      </c>
      <c r="C29" s="10">
        <f>MAX(2.6)</f>
        <v>2.6</v>
      </c>
      <c r="D29" s="10">
        <f>MAX(2.6)</f>
        <v>2.6</v>
      </c>
    </row>
    <row r="30" spans="1:9" x14ac:dyDescent="0.25">
      <c r="A30" s="10">
        <v>6</v>
      </c>
      <c r="B30" s="10">
        <f>SUM(E13:E14)</f>
        <v>6</v>
      </c>
      <c r="C30" s="10">
        <f>MAX(10,1.9)</f>
        <v>10</v>
      </c>
      <c r="D30" s="10">
        <f>MAX(10.6667,1.9)</f>
        <v>10.666700000000001</v>
      </c>
    </row>
    <row r="31" spans="1:9" x14ac:dyDescent="0.25">
      <c r="A31" s="10">
        <v>7</v>
      </c>
      <c r="B31" s="10">
        <f>SUM(E15:E16)</f>
        <v>7</v>
      </c>
      <c r="C31" s="10">
        <f>MAX(1.5,6.2333)</f>
        <v>6.2332999999999998</v>
      </c>
      <c r="D31" s="10">
        <f>MAX(1.5,6.2333)</f>
        <v>6.2332999999999998</v>
      </c>
    </row>
    <row r="32" spans="1:9" x14ac:dyDescent="0.25">
      <c r="A32" s="10">
        <v>8</v>
      </c>
      <c r="B32" s="10">
        <f>SUM(E17)</f>
        <v>2</v>
      </c>
      <c r="C32" s="10">
        <f>MAX(0.8)</f>
        <v>0.8</v>
      </c>
      <c r="D32" s="10">
        <f>MAX(0.8)</f>
        <v>0.8</v>
      </c>
    </row>
    <row r="33" spans="1:4" x14ac:dyDescent="0.25">
      <c r="A33" s="10">
        <v>9</v>
      </c>
      <c r="B33" s="10">
        <f>SUM(E18)</f>
        <v>3</v>
      </c>
      <c r="C33" s="10">
        <f>MAX(24.4)</f>
        <v>24.4</v>
      </c>
      <c r="D33" s="10">
        <f>MAX(11.5)</f>
        <v>11.5</v>
      </c>
    </row>
    <row r="34" spans="1:4" x14ac:dyDescent="0.25">
      <c r="A34" s="10">
        <v>10</v>
      </c>
      <c r="B34" s="10">
        <f>SUM(E19:E20)</f>
        <v>4</v>
      </c>
      <c r="C34" s="10">
        <f>MAX(1.7,0.8)</f>
        <v>1.7</v>
      </c>
      <c r="D34" s="10">
        <f>MAX(1.7,0.8)</f>
        <v>1.7</v>
      </c>
    </row>
    <row r="35" spans="1:4" x14ac:dyDescent="0.25">
      <c r="A35" s="10">
        <v>11</v>
      </c>
      <c r="B35" s="10">
        <f>SUM(E21)</f>
        <v>4</v>
      </c>
      <c r="C35" s="10">
        <f>MAX(0.5)</f>
        <v>0.5</v>
      </c>
      <c r="D35" s="10">
        <f>MAX(0.5)</f>
        <v>0.5</v>
      </c>
    </row>
    <row r="36" spans="1:4" x14ac:dyDescent="0.25">
      <c r="C36" s="12">
        <f>SUM(C25:C35)</f>
        <v>79.933300000000003</v>
      </c>
      <c r="D36" s="12">
        <f>SUM(D25:D35)</f>
        <v>65.449999999999989</v>
      </c>
    </row>
  </sheetData>
  <mergeCells count="6">
    <mergeCell ref="I1:I2"/>
    <mergeCell ref="A1:A2"/>
    <mergeCell ref="B1:B2"/>
    <mergeCell ref="F1:F2"/>
    <mergeCell ref="G1:G2"/>
    <mergeCell ref="H1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zoomScale="94" workbookViewId="0">
      <selection activeCell="C38" sqref="C38:D38"/>
    </sheetView>
  </sheetViews>
  <sheetFormatPr baseColWidth="10" defaultColWidth="9.140625" defaultRowHeight="15" x14ac:dyDescent="0.25"/>
  <cols>
    <col min="2" max="2" width="34.42578125" bestFit="1" customWidth="1"/>
    <col min="3" max="4" width="30.7109375" bestFit="1" customWidth="1"/>
    <col min="5" max="5" width="10.42578125" bestFit="1" customWidth="1"/>
    <col min="6" max="6" width="20" customWidth="1"/>
    <col min="7" max="7" width="19.85546875" customWidth="1"/>
    <col min="8" max="8" width="17.28515625" customWidth="1"/>
    <col min="9" max="9" width="17.85546875" customWidth="1"/>
  </cols>
  <sheetData>
    <row r="1" spans="1:9" x14ac:dyDescent="0.25">
      <c r="A1" s="5" t="s">
        <v>0</v>
      </c>
      <c r="B1" s="1" t="s">
        <v>1</v>
      </c>
      <c r="C1" s="2" t="s">
        <v>2</v>
      </c>
      <c r="D1" s="2" t="s">
        <v>2</v>
      </c>
      <c r="E1" s="2" t="s">
        <v>5</v>
      </c>
      <c r="F1" s="103" t="s">
        <v>137</v>
      </c>
      <c r="G1" s="103" t="s">
        <v>138</v>
      </c>
      <c r="H1" s="103" t="s">
        <v>153</v>
      </c>
      <c r="I1" s="103" t="s">
        <v>154</v>
      </c>
    </row>
    <row r="2" spans="1:9" ht="15.75" thickBot="1" x14ac:dyDescent="0.3">
      <c r="A2" s="6"/>
      <c r="B2" s="4"/>
      <c r="C2" s="3" t="s">
        <v>3</v>
      </c>
      <c r="D2" s="3" t="s">
        <v>4</v>
      </c>
      <c r="E2" s="3" t="s">
        <v>6</v>
      </c>
      <c r="F2" s="103"/>
      <c r="G2" s="103"/>
      <c r="H2" s="103"/>
      <c r="I2" s="103"/>
    </row>
    <row r="3" spans="1:9" ht="15.75" thickBot="1" x14ac:dyDescent="0.3">
      <c r="A3" s="23">
        <v>1</v>
      </c>
      <c r="B3" s="65" t="s">
        <v>40</v>
      </c>
      <c r="C3" s="25" t="s">
        <v>8</v>
      </c>
      <c r="D3" s="25" t="s">
        <v>41</v>
      </c>
      <c r="E3" s="66">
        <v>2</v>
      </c>
      <c r="F3" s="27">
        <f>(1.98+2.2+2.42)/3</f>
        <v>2.1999999999999997</v>
      </c>
      <c r="G3" s="27">
        <f>(2.1+2.8+3.17)/3</f>
        <v>2.69</v>
      </c>
      <c r="H3" s="27">
        <f>F3*E3</f>
        <v>4.3999999999999995</v>
      </c>
      <c r="I3" s="27">
        <f>G3*E3</f>
        <v>5.38</v>
      </c>
    </row>
    <row r="4" spans="1:9" ht="15.75" thickBot="1" x14ac:dyDescent="0.3">
      <c r="A4" s="23">
        <v>1</v>
      </c>
      <c r="B4" s="65" t="s">
        <v>42</v>
      </c>
      <c r="C4" s="25" t="s">
        <v>31</v>
      </c>
      <c r="D4" s="25" t="s">
        <v>43</v>
      </c>
      <c r="E4" s="66">
        <v>3</v>
      </c>
      <c r="F4" s="27">
        <f>(5+6.5+7.2)/3</f>
        <v>6.2333333333333334</v>
      </c>
      <c r="G4" s="27">
        <f>(4.3+5.5+6.8)/3</f>
        <v>5.5333333333333341</v>
      </c>
      <c r="H4" s="27">
        <f t="shared" ref="H4:H22" si="0">F4*E4</f>
        <v>18.7</v>
      </c>
      <c r="I4" s="27">
        <f t="shared" ref="I4:I22" si="1">G4*E4</f>
        <v>16.600000000000001</v>
      </c>
    </row>
    <row r="5" spans="1:9" ht="15.75" thickBot="1" x14ac:dyDescent="0.3">
      <c r="A5" s="28">
        <v>2</v>
      </c>
      <c r="B5" s="67" t="s">
        <v>44</v>
      </c>
      <c r="C5" s="30" t="s">
        <v>11</v>
      </c>
      <c r="D5" s="30" t="s">
        <v>11</v>
      </c>
      <c r="E5" s="68">
        <v>2</v>
      </c>
      <c r="F5" s="32">
        <f>(2.07+2.3+2.53)/3</f>
        <v>2.2999999999999994</v>
      </c>
      <c r="G5" s="32">
        <f>(2.07+2.3+2.53)/3</f>
        <v>2.2999999999999994</v>
      </c>
      <c r="H5" s="32">
        <f t="shared" si="0"/>
        <v>4.5999999999999988</v>
      </c>
      <c r="I5" s="32">
        <f t="shared" si="1"/>
        <v>4.5999999999999988</v>
      </c>
    </row>
    <row r="6" spans="1:9" ht="15.75" thickBot="1" x14ac:dyDescent="0.3">
      <c r="A6" s="28">
        <v>2</v>
      </c>
      <c r="B6" s="67" t="s">
        <v>45</v>
      </c>
      <c r="C6" s="30" t="s">
        <v>11</v>
      </c>
      <c r="D6" s="30" t="s">
        <v>11</v>
      </c>
      <c r="E6" s="68">
        <v>2</v>
      </c>
      <c r="F6" s="32">
        <f>(2.07+2.3+2.53)/3</f>
        <v>2.2999999999999994</v>
      </c>
      <c r="G6" s="32">
        <f>(2.07+2.3+2.53)/3</f>
        <v>2.2999999999999994</v>
      </c>
      <c r="H6" s="32">
        <f t="shared" si="0"/>
        <v>4.5999999999999988</v>
      </c>
      <c r="I6" s="32">
        <f t="shared" si="1"/>
        <v>4.5999999999999988</v>
      </c>
    </row>
    <row r="7" spans="1:9" ht="15.75" thickBot="1" x14ac:dyDescent="0.3">
      <c r="A7" s="28">
        <v>2</v>
      </c>
      <c r="B7" s="67" t="s">
        <v>46</v>
      </c>
      <c r="C7" s="30" t="s">
        <v>14</v>
      </c>
      <c r="D7" s="30" t="s">
        <v>47</v>
      </c>
      <c r="E7" s="68">
        <v>3</v>
      </c>
      <c r="F7" s="32">
        <f>(1.53+1.7+1.87)/3</f>
        <v>1.7</v>
      </c>
      <c r="G7" s="32">
        <f>(1.4+1.7+1.8)/3</f>
        <v>1.6333333333333331</v>
      </c>
      <c r="H7" s="32">
        <f t="shared" si="0"/>
        <v>5.0999999999999996</v>
      </c>
      <c r="I7" s="32">
        <f t="shared" si="1"/>
        <v>4.8999999999999995</v>
      </c>
    </row>
    <row r="8" spans="1:9" ht="15.75" thickBot="1" x14ac:dyDescent="0.3">
      <c r="A8" s="33">
        <v>3</v>
      </c>
      <c r="B8" s="63" t="s">
        <v>42</v>
      </c>
      <c r="C8" s="35" t="s">
        <v>48</v>
      </c>
      <c r="D8" s="35" t="s">
        <v>48</v>
      </c>
      <c r="E8" s="64">
        <v>2</v>
      </c>
      <c r="F8" s="37">
        <f>(16.2+18+19.8)/3</f>
        <v>18</v>
      </c>
      <c r="G8" s="37">
        <f>(16.2+18+19.8)/3</f>
        <v>18</v>
      </c>
      <c r="H8" s="37">
        <f t="shared" si="0"/>
        <v>36</v>
      </c>
      <c r="I8" s="37">
        <f t="shared" si="1"/>
        <v>36</v>
      </c>
    </row>
    <row r="9" spans="1:9" ht="15.75" thickBot="1" x14ac:dyDescent="0.3">
      <c r="A9" s="33">
        <v>3</v>
      </c>
      <c r="B9" s="63" t="s">
        <v>49</v>
      </c>
      <c r="C9" s="35" t="s">
        <v>18</v>
      </c>
      <c r="D9" s="35" t="s">
        <v>18</v>
      </c>
      <c r="E9" s="64">
        <v>3</v>
      </c>
      <c r="F9" s="37">
        <f>(1.8+2+2.2)/3</f>
        <v>2</v>
      </c>
      <c r="G9" s="37">
        <f>(1.8+2+2.2)/3</f>
        <v>2</v>
      </c>
      <c r="H9" s="37">
        <f t="shared" si="0"/>
        <v>6</v>
      </c>
      <c r="I9" s="37">
        <f t="shared" si="1"/>
        <v>6</v>
      </c>
    </row>
    <row r="10" spans="1:9" ht="15.75" thickBot="1" x14ac:dyDescent="0.3">
      <c r="A10" s="38">
        <v>4</v>
      </c>
      <c r="B10" s="84" t="s">
        <v>50</v>
      </c>
      <c r="C10" s="40" t="s">
        <v>51</v>
      </c>
      <c r="D10" s="40" t="s">
        <v>52</v>
      </c>
      <c r="E10" s="85">
        <v>2</v>
      </c>
      <c r="F10" s="42">
        <f>(12+13.5+13.9)/3</f>
        <v>13.133333333333333</v>
      </c>
      <c r="G10" s="42">
        <f>(9+11.2+13.6)/3</f>
        <v>11.266666666666666</v>
      </c>
      <c r="H10" s="42">
        <f t="shared" si="0"/>
        <v>26.266666666666666</v>
      </c>
      <c r="I10" s="42">
        <f t="shared" si="1"/>
        <v>22.533333333333331</v>
      </c>
    </row>
    <row r="11" spans="1:9" ht="15.75" thickBot="1" x14ac:dyDescent="0.3">
      <c r="A11" s="38">
        <v>4</v>
      </c>
      <c r="B11" s="84" t="s">
        <v>53</v>
      </c>
      <c r="C11" s="40" t="s">
        <v>23</v>
      </c>
      <c r="D11" s="40" t="s">
        <v>23</v>
      </c>
      <c r="E11" s="85">
        <v>2</v>
      </c>
      <c r="F11" s="42">
        <f>(1.89+2.1+2.31)/3</f>
        <v>2.1</v>
      </c>
      <c r="G11" s="42">
        <f>(1.89+2.1+2.31)/3</f>
        <v>2.1</v>
      </c>
      <c r="H11" s="42">
        <f t="shared" si="0"/>
        <v>4.2</v>
      </c>
      <c r="I11" s="42">
        <f t="shared" si="1"/>
        <v>4.2</v>
      </c>
    </row>
    <row r="12" spans="1:9" ht="15.75" thickBot="1" x14ac:dyDescent="0.3">
      <c r="A12" s="43">
        <v>5</v>
      </c>
      <c r="B12" s="86" t="s">
        <v>54</v>
      </c>
      <c r="C12" s="45" t="s">
        <v>55</v>
      </c>
      <c r="D12" s="45" t="s">
        <v>55</v>
      </c>
      <c r="E12" s="87">
        <v>3</v>
      </c>
      <c r="F12" s="47">
        <f>(8.4+10.1+12.6)/3</f>
        <v>10.366666666666667</v>
      </c>
      <c r="G12" s="47">
        <f>(8.4+10.1+12.6)/3</f>
        <v>10.366666666666667</v>
      </c>
      <c r="H12" s="47">
        <f t="shared" si="0"/>
        <v>31.1</v>
      </c>
      <c r="I12" s="47">
        <f t="shared" si="1"/>
        <v>31.1</v>
      </c>
    </row>
    <row r="13" spans="1:9" ht="15.75" thickBot="1" x14ac:dyDescent="0.3">
      <c r="A13" s="43">
        <v>5</v>
      </c>
      <c r="B13" s="86" t="s">
        <v>56</v>
      </c>
      <c r="C13" s="45" t="s">
        <v>57</v>
      </c>
      <c r="D13" s="45" t="s">
        <v>58</v>
      </c>
      <c r="E13" s="87">
        <v>2</v>
      </c>
      <c r="F13" s="47">
        <f>(0.9+1+1.1)/3</f>
        <v>1</v>
      </c>
      <c r="G13" s="47">
        <f>(1+2.2+4.1)/3</f>
        <v>2.4333333333333331</v>
      </c>
      <c r="H13" s="47">
        <f t="shared" si="0"/>
        <v>2</v>
      </c>
      <c r="I13" s="47">
        <f t="shared" si="1"/>
        <v>4.8666666666666663</v>
      </c>
    </row>
    <row r="14" spans="1:9" ht="15.75" thickBot="1" x14ac:dyDescent="0.3">
      <c r="A14" s="48">
        <v>6</v>
      </c>
      <c r="B14" s="88" t="s">
        <v>59</v>
      </c>
      <c r="C14" s="50" t="s">
        <v>60</v>
      </c>
      <c r="D14" s="50" t="s">
        <v>61</v>
      </c>
      <c r="E14" s="89">
        <v>3</v>
      </c>
      <c r="F14" s="52">
        <f>(12+15+17)/3</f>
        <v>14.666666666666666</v>
      </c>
      <c r="G14" s="52">
        <f>(13.2+15+17.5)/3</f>
        <v>15.233333333333334</v>
      </c>
      <c r="H14" s="52">
        <f>F14*E14</f>
        <v>44</v>
      </c>
      <c r="I14" s="52">
        <f>G14*E14</f>
        <v>45.7</v>
      </c>
    </row>
    <row r="15" spans="1:9" ht="15.75" thickBot="1" x14ac:dyDescent="0.3">
      <c r="A15" s="48">
        <v>6</v>
      </c>
      <c r="B15" s="88" t="s">
        <v>62</v>
      </c>
      <c r="C15" s="50" t="s">
        <v>30</v>
      </c>
      <c r="D15" s="50" t="s">
        <v>30</v>
      </c>
      <c r="E15" s="89">
        <v>2</v>
      </c>
      <c r="F15" s="52">
        <f>(1.35+1.5+1.65)/3</f>
        <v>1.5</v>
      </c>
      <c r="G15" s="52">
        <f>(1.35+1.5+1.65)/3</f>
        <v>1.5</v>
      </c>
      <c r="H15" s="52">
        <f>F15*E15</f>
        <v>3</v>
      </c>
      <c r="I15" s="52">
        <f>G15*E15</f>
        <v>3</v>
      </c>
    </row>
    <row r="16" spans="1:9" ht="15.75" thickBot="1" x14ac:dyDescent="0.3">
      <c r="A16" s="53">
        <v>7</v>
      </c>
      <c r="B16" s="90" t="s">
        <v>53</v>
      </c>
      <c r="C16" s="55" t="s">
        <v>31</v>
      </c>
      <c r="D16" s="55" t="s">
        <v>31</v>
      </c>
      <c r="E16" s="91">
        <v>4</v>
      </c>
      <c r="F16" s="57">
        <f>(5+6.5+7.2)/3</f>
        <v>6.2333333333333334</v>
      </c>
      <c r="G16" s="57">
        <f>(5+6.5+7.2)/3</f>
        <v>6.2333333333333334</v>
      </c>
      <c r="H16" s="57">
        <f t="shared" si="0"/>
        <v>24.933333333333334</v>
      </c>
      <c r="I16" s="57">
        <f t="shared" si="1"/>
        <v>24.933333333333334</v>
      </c>
    </row>
    <row r="17" spans="1:9" ht="15.75" thickBot="1" x14ac:dyDescent="0.3">
      <c r="A17" s="79">
        <v>8</v>
      </c>
      <c r="B17" s="92" t="s">
        <v>63</v>
      </c>
      <c r="C17" s="81" t="s">
        <v>33</v>
      </c>
      <c r="D17" s="81" t="s">
        <v>33</v>
      </c>
      <c r="E17" s="93">
        <v>2</v>
      </c>
      <c r="F17" s="83">
        <f>(0.72+0.8+0.88)/3</f>
        <v>0.79999999999999993</v>
      </c>
      <c r="G17" s="83">
        <f>(0.72+0.8+0.88)/3</f>
        <v>0.79999999999999993</v>
      </c>
      <c r="H17" s="83">
        <f t="shared" si="0"/>
        <v>1.5999999999999999</v>
      </c>
      <c r="I17" s="83">
        <f t="shared" si="1"/>
        <v>1.5999999999999999</v>
      </c>
    </row>
    <row r="18" spans="1:9" ht="15.75" thickBot="1" x14ac:dyDescent="0.3">
      <c r="A18" s="79">
        <v>8</v>
      </c>
      <c r="B18" s="92" t="s">
        <v>56</v>
      </c>
      <c r="C18" s="81" t="s">
        <v>64</v>
      </c>
      <c r="D18" s="81" t="s">
        <v>64</v>
      </c>
      <c r="E18" s="93">
        <v>4</v>
      </c>
      <c r="F18" s="83">
        <f>(16+18+19.5)/3</f>
        <v>17.833333333333332</v>
      </c>
      <c r="G18" s="83">
        <f>(16+18+19.5)/3</f>
        <v>17.833333333333332</v>
      </c>
      <c r="H18" s="83">
        <f t="shared" si="0"/>
        <v>71.333333333333329</v>
      </c>
      <c r="I18" s="83">
        <f t="shared" si="1"/>
        <v>71.333333333333329</v>
      </c>
    </row>
    <row r="19" spans="1:9" ht="15.75" thickBot="1" x14ac:dyDescent="0.3">
      <c r="A19" s="58">
        <v>9</v>
      </c>
      <c r="B19" s="94" t="s">
        <v>65</v>
      </c>
      <c r="C19" s="60" t="s">
        <v>14</v>
      </c>
      <c r="D19" s="60" t="s">
        <v>66</v>
      </c>
      <c r="E19" s="95">
        <v>2</v>
      </c>
      <c r="F19" s="62">
        <f>(1.53+1.7+1.87)/3</f>
        <v>1.7</v>
      </c>
      <c r="G19" s="62">
        <f>(1.4+1.9+2.3)/3</f>
        <v>1.8666666666666665</v>
      </c>
      <c r="H19" s="62">
        <f t="shared" si="0"/>
        <v>3.4</v>
      </c>
      <c r="I19" s="62">
        <f t="shared" si="1"/>
        <v>3.7333333333333329</v>
      </c>
    </row>
    <row r="20" spans="1:9" ht="15.75" thickBot="1" x14ac:dyDescent="0.3">
      <c r="A20" s="69">
        <v>10</v>
      </c>
      <c r="B20" s="96" t="s">
        <v>67</v>
      </c>
      <c r="C20" s="71" t="s">
        <v>68</v>
      </c>
      <c r="D20" s="71" t="s">
        <v>68</v>
      </c>
      <c r="E20" s="97">
        <v>3</v>
      </c>
      <c r="F20" s="73">
        <f>(7+11+12.5)/3</f>
        <v>10.166666666666666</v>
      </c>
      <c r="G20" s="73">
        <f>(7+11+12.5)/3</f>
        <v>10.166666666666666</v>
      </c>
      <c r="H20" s="73">
        <f t="shared" si="0"/>
        <v>30.5</v>
      </c>
      <c r="I20" s="73">
        <f t="shared" si="1"/>
        <v>30.5</v>
      </c>
    </row>
    <row r="21" spans="1:9" ht="15.75" thickBot="1" x14ac:dyDescent="0.3">
      <c r="A21" s="74">
        <v>11</v>
      </c>
      <c r="B21" s="98" t="s">
        <v>69</v>
      </c>
      <c r="C21" s="76" t="s">
        <v>39</v>
      </c>
      <c r="D21" s="76" t="s">
        <v>39</v>
      </c>
      <c r="E21" s="99">
        <v>1</v>
      </c>
      <c r="F21" s="78">
        <f>(0.45+0.5+0.55)/3</f>
        <v>0.5</v>
      </c>
      <c r="G21" s="78">
        <f>(0.45+0.5+0.55)/3</f>
        <v>0.5</v>
      </c>
      <c r="H21" s="78">
        <f t="shared" si="0"/>
        <v>0.5</v>
      </c>
      <c r="I21" s="78">
        <f t="shared" si="1"/>
        <v>0.5</v>
      </c>
    </row>
    <row r="22" spans="1:9" ht="15.75" thickBot="1" x14ac:dyDescent="0.3">
      <c r="A22" s="74">
        <v>11</v>
      </c>
      <c r="B22" s="98" t="s">
        <v>70</v>
      </c>
      <c r="C22" s="76" t="s">
        <v>29</v>
      </c>
      <c r="D22" s="76" t="s">
        <v>29</v>
      </c>
      <c r="E22" s="99">
        <v>1</v>
      </c>
      <c r="F22" s="100">
        <f>(1.71+1.9+2.09)/3</f>
        <v>1.8999999999999997</v>
      </c>
      <c r="G22" s="100">
        <f>(1.71+1.9+2.09)/3</f>
        <v>1.8999999999999997</v>
      </c>
      <c r="H22" s="78">
        <f t="shared" si="0"/>
        <v>1.8999999999999997</v>
      </c>
      <c r="I22" s="78">
        <f t="shared" si="1"/>
        <v>1.8999999999999997</v>
      </c>
    </row>
    <row r="23" spans="1:9" x14ac:dyDescent="0.25">
      <c r="F23" s="13">
        <f>SUM(F3:F22)</f>
        <v>116.63333333333334</v>
      </c>
      <c r="G23" s="13">
        <f>SUM(G3:G22)</f>
        <v>116.65666666666665</v>
      </c>
      <c r="H23" s="13">
        <f>SUM(H3:H22)</f>
        <v>324.13333333333327</v>
      </c>
      <c r="I23" s="13">
        <f>SUM(I3:I22)</f>
        <v>323.98</v>
      </c>
    </row>
    <row r="26" spans="1:9" x14ac:dyDescent="0.25">
      <c r="A26" s="9" t="s">
        <v>155</v>
      </c>
      <c r="B26" s="9" t="s">
        <v>156</v>
      </c>
      <c r="C26" s="9" t="s">
        <v>157</v>
      </c>
      <c r="D26" s="9" t="s">
        <v>158</v>
      </c>
    </row>
    <row r="27" spans="1:9" x14ac:dyDescent="0.25">
      <c r="A27" s="10">
        <v>1</v>
      </c>
      <c r="B27" s="10">
        <f>SUM(E3:E4)</f>
        <v>5</v>
      </c>
      <c r="C27" s="10">
        <f>MAX(2.2,6.2333)</f>
        <v>6.2332999999999998</v>
      </c>
      <c r="D27" s="11">
        <f>MAX(G3,G4)</f>
        <v>5.5333333333333341</v>
      </c>
    </row>
    <row r="28" spans="1:9" x14ac:dyDescent="0.25">
      <c r="A28" s="10">
        <v>2</v>
      </c>
      <c r="B28" s="10">
        <f>SUM(E5:E7)</f>
        <v>7</v>
      </c>
      <c r="C28" s="10">
        <f>MAX(F5,F6,F7)</f>
        <v>2.2999999999999994</v>
      </c>
      <c r="D28" s="11">
        <f>MAX(G5,G6,G7)</f>
        <v>2.2999999999999994</v>
      </c>
    </row>
    <row r="29" spans="1:9" x14ac:dyDescent="0.25">
      <c r="A29" s="10">
        <v>3</v>
      </c>
      <c r="B29" s="10">
        <f>SUM(E8:E9)</f>
        <v>5</v>
      </c>
      <c r="C29" s="11">
        <f>MAX(F8,F9)</f>
        <v>18</v>
      </c>
      <c r="D29" s="11">
        <f>MAX(G8,G9)</f>
        <v>18</v>
      </c>
    </row>
    <row r="30" spans="1:9" x14ac:dyDescent="0.25">
      <c r="A30" s="10">
        <v>4</v>
      </c>
      <c r="B30" s="10">
        <f>SUM(E10:E11)</f>
        <v>4</v>
      </c>
      <c r="C30" s="11">
        <f>MAX(F10,F11)</f>
        <v>13.133333333333333</v>
      </c>
      <c r="D30" s="11">
        <f>MAX(G10,G11)</f>
        <v>11.266666666666666</v>
      </c>
    </row>
    <row r="31" spans="1:9" x14ac:dyDescent="0.25">
      <c r="A31" s="10">
        <v>5</v>
      </c>
      <c r="B31" s="10">
        <f>SUM(E12:E13)</f>
        <v>5</v>
      </c>
      <c r="C31" s="11">
        <f>MAX(F12,F13)</f>
        <v>10.366666666666667</v>
      </c>
      <c r="D31" s="11">
        <f>MAX(G12,G13)</f>
        <v>10.366666666666667</v>
      </c>
    </row>
    <row r="32" spans="1:9" x14ac:dyDescent="0.25">
      <c r="A32" s="10">
        <v>6</v>
      </c>
      <c r="B32" s="10">
        <f>SUM(E14:E15)</f>
        <v>5</v>
      </c>
      <c r="C32" s="11">
        <f>MAX(F14,F15)</f>
        <v>14.666666666666666</v>
      </c>
      <c r="D32" s="11">
        <f>MAX(G14,G15)</f>
        <v>15.233333333333334</v>
      </c>
    </row>
    <row r="33" spans="1:4" x14ac:dyDescent="0.25">
      <c r="A33" s="10">
        <v>7</v>
      </c>
      <c r="B33" s="10">
        <f>SUM(E16)</f>
        <v>4</v>
      </c>
      <c r="C33" s="11">
        <f>MAX(F16)</f>
        <v>6.2333333333333334</v>
      </c>
      <c r="D33" s="11">
        <f>MAX(G16)</f>
        <v>6.2333333333333334</v>
      </c>
    </row>
    <row r="34" spans="1:4" x14ac:dyDescent="0.25">
      <c r="A34" s="10">
        <v>8</v>
      </c>
      <c r="B34" s="10">
        <f>SUM(E17:E18)</f>
        <v>6</v>
      </c>
      <c r="C34" s="11">
        <f>MAX(F17,F18)</f>
        <v>17.833333333333332</v>
      </c>
      <c r="D34" s="11">
        <f>MAX(G17,G18)</f>
        <v>17.833333333333332</v>
      </c>
    </row>
    <row r="35" spans="1:4" x14ac:dyDescent="0.25">
      <c r="A35" s="10">
        <v>9</v>
      </c>
      <c r="B35" s="10">
        <f>SUM(E19)</f>
        <v>2</v>
      </c>
      <c r="C35" s="11">
        <f>MAX(F19)</f>
        <v>1.7</v>
      </c>
      <c r="D35" s="11">
        <f>MAX(G19)</f>
        <v>1.8666666666666665</v>
      </c>
    </row>
    <row r="36" spans="1:4" x14ac:dyDescent="0.25">
      <c r="A36" s="10">
        <v>10</v>
      </c>
      <c r="B36" s="10">
        <f>SUM(E20)</f>
        <v>3</v>
      </c>
      <c r="C36" s="11">
        <f>MAX(F20)</f>
        <v>10.166666666666666</v>
      </c>
      <c r="D36" s="11">
        <f>MAX(G20)</f>
        <v>10.166666666666666</v>
      </c>
    </row>
    <row r="37" spans="1:4" x14ac:dyDescent="0.25">
      <c r="A37" s="10">
        <v>11</v>
      </c>
      <c r="B37" s="10">
        <f>SUM(E21:E22)</f>
        <v>2</v>
      </c>
      <c r="C37" s="11">
        <f>MAX(F21,F22)</f>
        <v>1.8999999999999997</v>
      </c>
      <c r="D37" s="11">
        <f>MAX(G21,G22)</f>
        <v>1.8999999999999997</v>
      </c>
    </row>
    <row r="38" spans="1:4" x14ac:dyDescent="0.25">
      <c r="C38" s="12">
        <f>SUM(C27:C37)</f>
        <v>102.53330000000001</v>
      </c>
      <c r="D38" s="12">
        <f>SUM(D27:D37)</f>
        <v>100.7</v>
      </c>
    </row>
  </sheetData>
  <mergeCells count="4">
    <mergeCell ref="F1:F2"/>
    <mergeCell ref="G1:G2"/>
    <mergeCell ref="H1:H2"/>
    <mergeCell ref="I1:I2"/>
  </mergeCells>
  <pageMargins left="0.7" right="0.7" top="0.75" bottom="0.75" header="0.3" footer="0.3"/>
  <ignoredErrors>
    <ignoredError sqref="B37 B34 B27:B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topLeftCell="A7" zoomScale="98" workbookViewId="0">
      <selection activeCell="I22" sqref="I22"/>
    </sheetView>
  </sheetViews>
  <sheetFormatPr baseColWidth="10" defaultColWidth="9.140625" defaultRowHeight="15" x14ac:dyDescent="0.25"/>
  <cols>
    <col min="1" max="1" width="5.7109375" bestFit="1" customWidth="1"/>
    <col min="2" max="2" width="22.28515625" bestFit="1" customWidth="1"/>
    <col min="3" max="3" width="31.140625" bestFit="1" customWidth="1"/>
    <col min="4" max="4" width="31.7109375" bestFit="1" customWidth="1"/>
    <col min="5" max="5" width="10.42578125" bestFit="1" customWidth="1"/>
    <col min="6" max="6" width="16.5703125" customWidth="1"/>
    <col min="7" max="7" width="17" customWidth="1"/>
    <col min="8" max="8" width="15.140625" customWidth="1"/>
    <col min="9" max="9" width="15.7109375" customWidth="1"/>
  </cols>
  <sheetData>
    <row r="1" spans="1:9" x14ac:dyDescent="0.25">
      <c r="A1" s="104" t="s">
        <v>0</v>
      </c>
      <c r="B1" s="104" t="s">
        <v>1</v>
      </c>
      <c r="C1" s="2" t="s">
        <v>2</v>
      </c>
      <c r="D1" s="2" t="s">
        <v>2</v>
      </c>
      <c r="E1" s="2" t="s">
        <v>5</v>
      </c>
      <c r="F1" s="103" t="s">
        <v>137</v>
      </c>
      <c r="G1" s="103" t="s">
        <v>138</v>
      </c>
      <c r="H1" s="103" t="s">
        <v>153</v>
      </c>
      <c r="I1" s="103" t="s">
        <v>154</v>
      </c>
    </row>
    <row r="2" spans="1:9" ht="15.75" thickBot="1" x14ac:dyDescent="0.3">
      <c r="A2" s="105"/>
      <c r="B2" s="105"/>
      <c r="C2" s="3" t="s">
        <v>3</v>
      </c>
      <c r="D2" s="3" t="s">
        <v>4</v>
      </c>
      <c r="E2" s="3" t="s">
        <v>6</v>
      </c>
      <c r="F2" s="103"/>
      <c r="G2" s="103"/>
      <c r="H2" s="103"/>
      <c r="I2" s="103"/>
    </row>
    <row r="3" spans="1:9" ht="15.75" thickBot="1" x14ac:dyDescent="0.3">
      <c r="A3" s="23">
        <v>1</v>
      </c>
      <c r="B3" s="24" t="s">
        <v>71</v>
      </c>
      <c r="C3" s="25" t="s">
        <v>8</v>
      </c>
      <c r="D3" s="25" t="s">
        <v>72</v>
      </c>
      <c r="E3" s="66">
        <v>2</v>
      </c>
      <c r="F3" s="27">
        <f>(1.98+2.2+2.42)/3</f>
        <v>2.1999999999999997</v>
      </c>
      <c r="G3" s="27">
        <f>(1.33+2.25+2.98)/3</f>
        <v>2.186666666666667</v>
      </c>
      <c r="H3" s="27">
        <f>F3*E3</f>
        <v>4.3999999999999995</v>
      </c>
      <c r="I3" s="27">
        <f>G3*E3</f>
        <v>4.373333333333334</v>
      </c>
    </row>
    <row r="4" spans="1:9" ht="15.75" thickBot="1" x14ac:dyDescent="0.3">
      <c r="A4" s="23">
        <v>1</v>
      </c>
      <c r="B4" s="24" t="s">
        <v>73</v>
      </c>
      <c r="C4" s="25" t="s">
        <v>31</v>
      </c>
      <c r="D4" s="25" t="s">
        <v>74</v>
      </c>
      <c r="E4" s="66">
        <v>3</v>
      </c>
      <c r="F4" s="27">
        <f>(5+6.5+7.2)/3</f>
        <v>6.2333333333333334</v>
      </c>
      <c r="G4" s="27">
        <f>(4.2+5.4+6.23)/3</f>
        <v>5.2766666666666673</v>
      </c>
      <c r="H4" s="27">
        <f t="shared" ref="H4:H21" si="0">F4*E4</f>
        <v>18.7</v>
      </c>
      <c r="I4" s="27">
        <f t="shared" ref="I4:I21" si="1">G4*E4</f>
        <v>15.830000000000002</v>
      </c>
    </row>
    <row r="5" spans="1:9" ht="15.75" thickBot="1" x14ac:dyDescent="0.3">
      <c r="A5" s="23">
        <v>1</v>
      </c>
      <c r="B5" s="24" t="s">
        <v>129</v>
      </c>
      <c r="C5" s="25" t="s">
        <v>11</v>
      </c>
      <c r="D5" s="25" t="s">
        <v>11</v>
      </c>
      <c r="E5" s="66">
        <v>2</v>
      </c>
      <c r="F5" s="27">
        <f>(2.07+2.3+2.53)/3</f>
        <v>2.2999999999999994</v>
      </c>
      <c r="G5" s="27">
        <f>(2.07+2.3+2.53)/3</f>
        <v>2.2999999999999994</v>
      </c>
      <c r="H5" s="27">
        <f t="shared" si="0"/>
        <v>4.5999999999999988</v>
      </c>
      <c r="I5" s="27">
        <f t="shared" si="1"/>
        <v>4.5999999999999988</v>
      </c>
    </row>
    <row r="6" spans="1:9" ht="15.75" thickBot="1" x14ac:dyDescent="0.3">
      <c r="A6" s="28">
        <v>2</v>
      </c>
      <c r="B6" s="29" t="s">
        <v>130</v>
      </c>
      <c r="C6" s="30" t="s">
        <v>11</v>
      </c>
      <c r="D6" s="30" t="s">
        <v>75</v>
      </c>
      <c r="E6" s="68">
        <v>2</v>
      </c>
      <c r="F6" s="32">
        <f>(2.07+2.3+2.53)/3</f>
        <v>2.2999999999999994</v>
      </c>
      <c r="G6" s="32">
        <f>(2.1+2.45+2.58)/3</f>
        <v>2.3766666666666669</v>
      </c>
      <c r="H6" s="32">
        <f t="shared" si="0"/>
        <v>4.5999999999999988</v>
      </c>
      <c r="I6" s="32">
        <f t="shared" si="1"/>
        <v>4.7533333333333339</v>
      </c>
    </row>
    <row r="7" spans="1:9" ht="15.75" thickBot="1" x14ac:dyDescent="0.3">
      <c r="A7" s="28">
        <v>2</v>
      </c>
      <c r="B7" s="29" t="s">
        <v>76</v>
      </c>
      <c r="C7" s="30" t="s">
        <v>14</v>
      </c>
      <c r="D7" s="30" t="s">
        <v>14</v>
      </c>
      <c r="E7" s="68">
        <v>2</v>
      </c>
      <c r="F7" s="32">
        <f>(1.53+1.7+1.87)/3</f>
        <v>1.7</v>
      </c>
      <c r="G7" s="32">
        <f>(1.53+1.7+1.87)/3</f>
        <v>1.7</v>
      </c>
      <c r="H7" s="32">
        <f t="shared" si="0"/>
        <v>3.4</v>
      </c>
      <c r="I7" s="32">
        <f t="shared" si="1"/>
        <v>3.4</v>
      </c>
    </row>
    <row r="8" spans="1:9" ht="15.75" thickBot="1" x14ac:dyDescent="0.3">
      <c r="A8" s="33">
        <v>3</v>
      </c>
      <c r="B8" s="34" t="s">
        <v>71</v>
      </c>
      <c r="C8" s="35" t="s">
        <v>15</v>
      </c>
      <c r="D8" s="35" t="s">
        <v>77</v>
      </c>
      <c r="E8" s="64">
        <v>2</v>
      </c>
      <c r="F8" s="37">
        <f>(1.62+1.8+1.98)/3</f>
        <v>1.8</v>
      </c>
      <c r="G8" s="37">
        <f>(1.2+1.34+1.6)/3</f>
        <v>1.3800000000000001</v>
      </c>
      <c r="H8" s="37">
        <f>F8*E8</f>
        <v>3.6</v>
      </c>
      <c r="I8" s="37">
        <f t="shared" si="1"/>
        <v>2.7600000000000002</v>
      </c>
    </row>
    <row r="9" spans="1:9" ht="15.75" thickBot="1" x14ac:dyDescent="0.3">
      <c r="A9" s="38">
        <v>4</v>
      </c>
      <c r="B9" s="39" t="s">
        <v>78</v>
      </c>
      <c r="C9" s="40" t="s">
        <v>18</v>
      </c>
      <c r="D9" s="40" t="s">
        <v>79</v>
      </c>
      <c r="E9" s="85">
        <v>3</v>
      </c>
      <c r="F9" s="42">
        <f>(1.8+2+2.2)/3</f>
        <v>2</v>
      </c>
      <c r="G9" s="42">
        <f>(1.2+3.3+4.1)/3</f>
        <v>2.8666666666666667</v>
      </c>
      <c r="H9" s="42">
        <f t="shared" si="0"/>
        <v>6</v>
      </c>
      <c r="I9" s="42">
        <f t="shared" si="1"/>
        <v>8.6</v>
      </c>
    </row>
    <row r="10" spans="1:9" ht="15.75" thickBot="1" x14ac:dyDescent="0.3">
      <c r="A10" s="38">
        <v>4</v>
      </c>
      <c r="B10" s="39" t="s">
        <v>80</v>
      </c>
      <c r="C10" s="40" t="s">
        <v>81</v>
      </c>
      <c r="D10" s="40" t="s">
        <v>82</v>
      </c>
      <c r="E10" s="85">
        <v>2</v>
      </c>
      <c r="F10" s="42">
        <f>(12+13.4+14.2)/3</f>
        <v>13.199999999999998</v>
      </c>
      <c r="G10" s="42">
        <f>(15+16.4+17)/3</f>
        <v>16.133333333333333</v>
      </c>
      <c r="H10" s="42">
        <f t="shared" si="0"/>
        <v>26.399999999999995</v>
      </c>
      <c r="I10" s="42">
        <f>G10*E10</f>
        <v>32.266666666666666</v>
      </c>
    </row>
    <row r="11" spans="1:9" ht="15.75" thickBot="1" x14ac:dyDescent="0.3">
      <c r="A11" s="38">
        <v>4</v>
      </c>
      <c r="B11" s="39" t="s">
        <v>83</v>
      </c>
      <c r="C11" s="40" t="s">
        <v>23</v>
      </c>
      <c r="D11" s="40" t="s">
        <v>23</v>
      </c>
      <c r="E11" s="85">
        <v>2</v>
      </c>
      <c r="F11" s="42">
        <f>(1.89+2.1+2.31)/3</f>
        <v>2.1</v>
      </c>
      <c r="G11" s="42">
        <f>(1.89+2.1+2.31)/3</f>
        <v>2.1</v>
      </c>
      <c r="H11" s="42">
        <f t="shared" si="0"/>
        <v>4.2</v>
      </c>
      <c r="I11" s="42">
        <f t="shared" si="1"/>
        <v>4.2</v>
      </c>
    </row>
    <row r="12" spans="1:9" ht="15.75" thickBot="1" x14ac:dyDescent="0.3">
      <c r="A12" s="43">
        <v>5</v>
      </c>
      <c r="B12" s="44" t="s">
        <v>84</v>
      </c>
      <c r="C12" s="45" t="s">
        <v>24</v>
      </c>
      <c r="D12" s="45" t="s">
        <v>85</v>
      </c>
      <c r="E12" s="87">
        <v>2</v>
      </c>
      <c r="F12" s="47">
        <f>(2.34+2.6+2.86)/3</f>
        <v>2.5999999999999996</v>
      </c>
      <c r="G12" s="47">
        <f>(2.44+2.65+3.6)/3</f>
        <v>2.8966666666666665</v>
      </c>
      <c r="H12" s="47">
        <f t="shared" si="0"/>
        <v>5.1999999999999993</v>
      </c>
      <c r="I12" s="47">
        <f t="shared" si="1"/>
        <v>5.793333333333333</v>
      </c>
    </row>
    <row r="13" spans="1:9" ht="15.75" thickBot="1" x14ac:dyDescent="0.3">
      <c r="A13" s="48">
        <v>6</v>
      </c>
      <c r="B13" s="49" t="s">
        <v>80</v>
      </c>
      <c r="C13" s="50" t="s">
        <v>86</v>
      </c>
      <c r="D13" s="50" t="s">
        <v>87</v>
      </c>
      <c r="E13" s="89">
        <v>5</v>
      </c>
      <c r="F13" s="52">
        <f>(4+6.3+7.1)/3</f>
        <v>5.8</v>
      </c>
      <c r="G13" s="52">
        <f>(3.3+5.4+6.1)/3</f>
        <v>4.9333333333333327</v>
      </c>
      <c r="H13" s="52">
        <f t="shared" si="0"/>
        <v>29</v>
      </c>
      <c r="I13" s="52">
        <f t="shared" si="1"/>
        <v>24.666666666666664</v>
      </c>
    </row>
    <row r="14" spans="1:9" ht="15.75" thickBot="1" x14ac:dyDescent="0.3">
      <c r="A14" s="48">
        <v>6</v>
      </c>
      <c r="B14" s="49" t="s">
        <v>83</v>
      </c>
      <c r="C14" s="50" t="s">
        <v>60</v>
      </c>
      <c r="D14" s="50" t="s">
        <v>88</v>
      </c>
      <c r="E14" s="89">
        <v>2</v>
      </c>
      <c r="F14" s="52">
        <f>(12+15+17)/3</f>
        <v>14.666666666666666</v>
      </c>
      <c r="G14" s="52">
        <f>(10+12+15)/3</f>
        <v>12.333333333333334</v>
      </c>
      <c r="H14" s="52">
        <f t="shared" si="0"/>
        <v>29.333333333333332</v>
      </c>
      <c r="I14" s="52">
        <f t="shared" si="1"/>
        <v>24.666666666666668</v>
      </c>
    </row>
    <row r="15" spans="1:9" ht="15.75" thickBot="1" x14ac:dyDescent="0.3">
      <c r="A15" s="53">
        <v>7</v>
      </c>
      <c r="B15" s="54" t="s">
        <v>89</v>
      </c>
      <c r="C15" s="55" t="s">
        <v>30</v>
      </c>
      <c r="D15" s="55" t="s">
        <v>30</v>
      </c>
      <c r="E15" s="91">
        <v>4</v>
      </c>
      <c r="F15" s="57">
        <f>(1.35+1.5+1.65)/3</f>
        <v>1.5</v>
      </c>
      <c r="G15" s="57">
        <f>(1.35+1.5+1.65)/3</f>
        <v>1.5</v>
      </c>
      <c r="H15" s="57">
        <f t="shared" si="0"/>
        <v>6</v>
      </c>
      <c r="I15" s="57">
        <f t="shared" si="1"/>
        <v>6</v>
      </c>
    </row>
    <row r="16" spans="1:9" ht="15.75" thickBot="1" x14ac:dyDescent="0.3">
      <c r="A16" s="53">
        <v>7</v>
      </c>
      <c r="B16" s="54" t="s">
        <v>80</v>
      </c>
      <c r="C16" s="55" t="s">
        <v>90</v>
      </c>
      <c r="D16" s="55" t="s">
        <v>31</v>
      </c>
      <c r="E16" s="91">
        <v>2</v>
      </c>
      <c r="F16" s="57">
        <f>(2+4.3+5.2)/3</f>
        <v>3.8333333333333335</v>
      </c>
      <c r="G16" s="57">
        <f>(5+6.5+7.2)/3</f>
        <v>6.2333333333333334</v>
      </c>
      <c r="H16" s="57">
        <f t="shared" si="0"/>
        <v>7.666666666666667</v>
      </c>
      <c r="I16" s="57">
        <f t="shared" si="1"/>
        <v>12.466666666666667</v>
      </c>
    </row>
    <row r="17" spans="1:9" ht="15.75" thickBot="1" x14ac:dyDescent="0.3">
      <c r="A17" s="79">
        <v>8</v>
      </c>
      <c r="B17" s="80" t="s">
        <v>91</v>
      </c>
      <c r="C17" s="81" t="s">
        <v>33</v>
      </c>
      <c r="D17" s="81" t="s">
        <v>33</v>
      </c>
      <c r="E17" s="93">
        <v>2</v>
      </c>
      <c r="F17" s="83">
        <f>(0.72+0.8+0.88)/3</f>
        <v>0.79999999999999993</v>
      </c>
      <c r="G17" s="83">
        <f>(0.72+0.8+0.88)/3</f>
        <v>0.79999999999999993</v>
      </c>
      <c r="H17" s="83">
        <f t="shared" si="0"/>
        <v>1.5999999999999999</v>
      </c>
      <c r="I17" s="83">
        <f t="shared" si="1"/>
        <v>1.5999999999999999</v>
      </c>
    </row>
    <row r="18" spans="1:9" ht="15.75" thickBot="1" x14ac:dyDescent="0.3">
      <c r="A18" s="58">
        <v>9</v>
      </c>
      <c r="B18" s="59" t="s">
        <v>92</v>
      </c>
      <c r="C18" s="60" t="s">
        <v>93</v>
      </c>
      <c r="D18" s="60" t="s">
        <v>93</v>
      </c>
      <c r="E18" s="95">
        <v>3</v>
      </c>
      <c r="F18" s="62">
        <f>(16.25+18+19.5)/3</f>
        <v>17.916666666666668</v>
      </c>
      <c r="G18" s="62">
        <f>(16.25+18+19.5)/3</f>
        <v>17.916666666666668</v>
      </c>
      <c r="H18" s="62">
        <f t="shared" si="0"/>
        <v>53.75</v>
      </c>
      <c r="I18" s="62">
        <f t="shared" si="1"/>
        <v>53.75</v>
      </c>
    </row>
    <row r="19" spans="1:9" ht="15.75" thickBot="1" x14ac:dyDescent="0.3">
      <c r="A19" s="69">
        <v>10</v>
      </c>
      <c r="B19" s="70" t="s">
        <v>80</v>
      </c>
      <c r="C19" s="71" t="s">
        <v>14</v>
      </c>
      <c r="D19" s="71" t="s">
        <v>94</v>
      </c>
      <c r="E19" s="97">
        <v>2</v>
      </c>
      <c r="F19" s="73">
        <f>(1.53+1.7+1.87)/3</f>
        <v>1.7</v>
      </c>
      <c r="G19" s="73">
        <f>(1.44+2.3+3.1)/3</f>
        <v>2.2799999999999998</v>
      </c>
      <c r="H19" s="73">
        <f t="shared" si="0"/>
        <v>3.4</v>
      </c>
      <c r="I19" s="73">
        <f t="shared" si="1"/>
        <v>4.5599999999999996</v>
      </c>
    </row>
    <row r="20" spans="1:9" ht="15.75" thickBot="1" x14ac:dyDescent="0.3">
      <c r="A20" s="69">
        <v>10</v>
      </c>
      <c r="B20" s="70" t="s">
        <v>83</v>
      </c>
      <c r="C20" s="71" t="s">
        <v>95</v>
      </c>
      <c r="D20" s="71" t="s">
        <v>96</v>
      </c>
      <c r="E20" s="97">
        <v>3</v>
      </c>
      <c r="F20" s="73">
        <f>(3+4+5)/3</f>
        <v>4</v>
      </c>
      <c r="G20" s="73">
        <f>(3.5+4.5+5.5)/3</f>
        <v>4.5</v>
      </c>
      <c r="H20" s="73">
        <f t="shared" si="0"/>
        <v>12</v>
      </c>
      <c r="I20" s="73">
        <f t="shared" si="1"/>
        <v>13.5</v>
      </c>
    </row>
    <row r="21" spans="1:9" ht="15.75" thickBot="1" x14ac:dyDescent="0.3">
      <c r="A21" s="74">
        <v>11</v>
      </c>
      <c r="B21" s="75" t="s">
        <v>97</v>
      </c>
      <c r="C21" s="76" t="s">
        <v>39</v>
      </c>
      <c r="D21" s="76" t="s">
        <v>39</v>
      </c>
      <c r="E21" s="77">
        <v>1</v>
      </c>
      <c r="F21" s="78">
        <f>(0.45+0.5+0.55)/3</f>
        <v>0.5</v>
      </c>
      <c r="G21" s="78">
        <f>(0.45+0.5+0.55)/3</f>
        <v>0.5</v>
      </c>
      <c r="H21" s="78">
        <f t="shared" si="0"/>
        <v>0.5</v>
      </c>
      <c r="I21" s="78">
        <f t="shared" si="1"/>
        <v>0.5</v>
      </c>
    </row>
    <row r="22" spans="1:9" x14ac:dyDescent="0.25">
      <c r="F22" s="13">
        <f>SUM(F2:F21)</f>
        <v>87.149999999999991</v>
      </c>
      <c r="G22" s="13">
        <f>SUM(G2:G21)</f>
        <v>90.213333333333338</v>
      </c>
      <c r="H22" s="13">
        <f>SUM(H3:H21)</f>
        <v>224.35</v>
      </c>
      <c r="I22" s="13">
        <f>SUM(I3:I21)</f>
        <v>228.28666666666666</v>
      </c>
    </row>
    <row r="23" spans="1:9" x14ac:dyDescent="0.25">
      <c r="F23" s="14"/>
      <c r="G23" s="15"/>
    </row>
    <row r="24" spans="1:9" x14ac:dyDescent="0.25">
      <c r="A24" s="9" t="s">
        <v>155</v>
      </c>
      <c r="B24" s="9" t="s">
        <v>156</v>
      </c>
      <c r="C24" s="9" t="s">
        <v>157</v>
      </c>
      <c r="D24" s="9" t="s">
        <v>158</v>
      </c>
    </row>
    <row r="25" spans="1:9" x14ac:dyDescent="0.25">
      <c r="A25" s="10">
        <v>1</v>
      </c>
      <c r="B25" s="10">
        <f>SUM(E3:E5)</f>
        <v>7</v>
      </c>
      <c r="C25" s="11">
        <f>MAX(F3:F5)</f>
        <v>6.2333333333333334</v>
      </c>
      <c r="D25" s="11">
        <f>MAX(G3:G5)</f>
        <v>5.2766666666666673</v>
      </c>
    </row>
    <row r="26" spans="1:9" x14ac:dyDescent="0.25">
      <c r="A26" s="10">
        <v>2</v>
      </c>
      <c r="B26" s="10">
        <f>SUM(E6:E7)</f>
        <v>4</v>
      </c>
      <c r="C26" s="11">
        <f>MAX(F6:F7)</f>
        <v>2.2999999999999994</v>
      </c>
      <c r="D26" s="11">
        <f>MAX(G6:G7)</f>
        <v>2.3766666666666669</v>
      </c>
    </row>
    <row r="27" spans="1:9" x14ac:dyDescent="0.25">
      <c r="A27" s="10">
        <v>3</v>
      </c>
      <c r="B27" s="10">
        <f>SUM(E8)</f>
        <v>2</v>
      </c>
      <c r="C27" s="11">
        <f>MAX(F8)</f>
        <v>1.8</v>
      </c>
      <c r="D27" s="11">
        <f>MAX(G8)</f>
        <v>1.3800000000000001</v>
      </c>
    </row>
    <row r="28" spans="1:9" x14ac:dyDescent="0.25">
      <c r="A28" s="10">
        <v>4</v>
      </c>
      <c r="B28" s="10">
        <f>SUM(E9:E11)</f>
        <v>7</v>
      </c>
      <c r="C28" s="11">
        <f>MAX(F9:F11)</f>
        <v>13.199999999999998</v>
      </c>
      <c r="D28" s="11">
        <f>MAX(G9:G11)</f>
        <v>16.133333333333333</v>
      </c>
    </row>
    <row r="29" spans="1:9" x14ac:dyDescent="0.25">
      <c r="A29" s="10">
        <v>5</v>
      </c>
      <c r="B29" s="10">
        <f>SUM(E12)</f>
        <v>2</v>
      </c>
      <c r="C29" s="11">
        <f>MAX(F12)</f>
        <v>2.5999999999999996</v>
      </c>
      <c r="D29" s="11">
        <f>MAX(G12)</f>
        <v>2.8966666666666665</v>
      </c>
    </row>
    <row r="30" spans="1:9" x14ac:dyDescent="0.25">
      <c r="A30" s="10">
        <v>6</v>
      </c>
      <c r="B30" s="10">
        <f>SUM(E13:E14)</f>
        <v>7</v>
      </c>
      <c r="C30" s="11">
        <f>MAX(F13:F14)</f>
        <v>14.666666666666666</v>
      </c>
      <c r="D30" s="11">
        <f>MAX(G13:G14)</f>
        <v>12.333333333333334</v>
      </c>
    </row>
    <row r="31" spans="1:9" x14ac:dyDescent="0.25">
      <c r="A31" s="10">
        <v>7</v>
      </c>
      <c r="B31" s="10">
        <f>SUM(E15:E16)</f>
        <v>6</v>
      </c>
      <c r="C31" s="11">
        <f>MAX(F15:F16)</f>
        <v>3.8333333333333335</v>
      </c>
      <c r="D31" s="11">
        <f>MAX(G15:G16)</f>
        <v>6.2333333333333334</v>
      </c>
    </row>
    <row r="32" spans="1:9" x14ac:dyDescent="0.25">
      <c r="A32" s="10">
        <v>8</v>
      </c>
      <c r="B32" s="10">
        <f>SUM(E17)</f>
        <v>2</v>
      </c>
      <c r="C32" s="11">
        <f>MAX(F17)</f>
        <v>0.79999999999999993</v>
      </c>
      <c r="D32" s="11">
        <f>MAX(G17)</f>
        <v>0.79999999999999993</v>
      </c>
    </row>
    <row r="33" spans="1:4" x14ac:dyDescent="0.25">
      <c r="A33" s="10">
        <v>9</v>
      </c>
      <c r="B33" s="10">
        <f>SUM(E18)</f>
        <v>3</v>
      </c>
      <c r="C33" s="11">
        <f>MAX(F18)</f>
        <v>17.916666666666668</v>
      </c>
      <c r="D33" s="11">
        <f>MAX(G18)</f>
        <v>17.916666666666668</v>
      </c>
    </row>
    <row r="34" spans="1:4" x14ac:dyDescent="0.25">
      <c r="A34" s="10">
        <v>10</v>
      </c>
      <c r="B34" s="10">
        <f>SUM(E19:E20)</f>
        <v>5</v>
      </c>
      <c r="C34" s="11">
        <f>MAX(F19:F20)</f>
        <v>4</v>
      </c>
      <c r="D34" s="11">
        <f>MAX(G19:G20)</f>
        <v>4.5</v>
      </c>
    </row>
    <row r="35" spans="1:4" x14ac:dyDescent="0.25">
      <c r="A35" s="10">
        <v>11</v>
      </c>
      <c r="B35" s="10">
        <f>SUM(E21)</f>
        <v>1</v>
      </c>
      <c r="C35" s="11">
        <f>MAX(F21)</f>
        <v>0.5</v>
      </c>
      <c r="D35" s="11">
        <f>MAX(G21)</f>
        <v>0.5</v>
      </c>
    </row>
    <row r="36" spans="1:4" x14ac:dyDescent="0.25">
      <c r="C36" s="13">
        <f>SUM(C25:C35)</f>
        <v>67.849999999999994</v>
      </c>
      <c r="D36" s="13">
        <f>SUM(D25:D35)</f>
        <v>70.346666666666664</v>
      </c>
    </row>
  </sheetData>
  <mergeCells count="6">
    <mergeCell ref="I1:I2"/>
    <mergeCell ref="A1:A2"/>
    <mergeCell ref="B1:B2"/>
    <mergeCell ref="F1:F2"/>
    <mergeCell ref="G1:G2"/>
    <mergeCell ref="H1:H2"/>
  </mergeCells>
  <pageMargins left="0.7" right="0.7" top="0.75" bottom="0.75" header="0.3" footer="0.3"/>
  <ignoredErrors>
    <ignoredError sqref="B34 B30:B31 B28 B25:B2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="104" workbookViewId="0">
      <selection activeCell="D37" sqref="D37"/>
    </sheetView>
  </sheetViews>
  <sheetFormatPr baseColWidth="10" defaultColWidth="9.140625" defaultRowHeight="15" x14ac:dyDescent="0.25"/>
  <cols>
    <col min="1" max="1" width="5.7109375" bestFit="1" customWidth="1"/>
    <col min="2" max="2" width="24.140625" bestFit="1" customWidth="1"/>
    <col min="3" max="4" width="31.7109375" bestFit="1" customWidth="1"/>
    <col min="5" max="5" width="10.42578125" bestFit="1" customWidth="1"/>
    <col min="6" max="6" width="17.7109375" customWidth="1"/>
    <col min="7" max="7" width="17.140625" customWidth="1"/>
    <col min="8" max="8" width="18.7109375" customWidth="1"/>
    <col min="9" max="9" width="16.28515625" customWidth="1"/>
  </cols>
  <sheetData>
    <row r="1" spans="1:9" x14ac:dyDescent="0.25">
      <c r="A1" s="104" t="s">
        <v>0</v>
      </c>
      <c r="B1" s="104" t="s">
        <v>1</v>
      </c>
      <c r="C1" s="2" t="s">
        <v>2</v>
      </c>
      <c r="D1" s="2" t="s">
        <v>2</v>
      </c>
      <c r="E1" s="2" t="s">
        <v>5</v>
      </c>
      <c r="F1" s="103" t="s">
        <v>137</v>
      </c>
      <c r="G1" s="103" t="s">
        <v>138</v>
      </c>
      <c r="H1" s="103" t="s">
        <v>153</v>
      </c>
      <c r="I1" s="103" t="s">
        <v>154</v>
      </c>
    </row>
    <row r="2" spans="1:9" ht="15.75" thickBot="1" x14ac:dyDescent="0.3">
      <c r="A2" s="105"/>
      <c r="B2" s="105"/>
      <c r="C2" s="3" t="s">
        <v>3</v>
      </c>
      <c r="D2" s="3" t="s">
        <v>4</v>
      </c>
      <c r="E2" s="3" t="s">
        <v>6</v>
      </c>
      <c r="F2" s="103"/>
      <c r="G2" s="103"/>
      <c r="H2" s="103"/>
      <c r="I2" s="103"/>
    </row>
    <row r="3" spans="1:9" ht="15.75" thickBot="1" x14ac:dyDescent="0.3">
      <c r="A3" s="23">
        <v>1</v>
      </c>
      <c r="B3" s="24" t="s">
        <v>98</v>
      </c>
      <c r="C3" s="25" t="s">
        <v>99</v>
      </c>
      <c r="D3" s="25" t="s">
        <v>72</v>
      </c>
      <c r="E3" s="66">
        <v>2</v>
      </c>
      <c r="F3" s="27">
        <f>(1.88+2.62+2.82)/3</f>
        <v>2.44</v>
      </c>
      <c r="G3" s="27">
        <f>(1.33+2.25+2.98)/3</f>
        <v>2.186666666666667</v>
      </c>
      <c r="H3" s="27">
        <f>F3*E3</f>
        <v>4.88</v>
      </c>
      <c r="I3" s="27">
        <f>G3*E3</f>
        <v>4.373333333333334</v>
      </c>
    </row>
    <row r="4" spans="1:9" ht="15.75" thickBot="1" x14ac:dyDescent="0.3">
      <c r="A4" s="23">
        <v>1</v>
      </c>
      <c r="B4" s="24" t="s">
        <v>100</v>
      </c>
      <c r="C4" s="25" t="s">
        <v>101</v>
      </c>
      <c r="D4" s="25" t="s">
        <v>74</v>
      </c>
      <c r="E4" s="66">
        <v>4</v>
      </c>
      <c r="F4" s="27">
        <f>(5.2+6.54+7.12)/3</f>
        <v>6.2866666666666662</v>
      </c>
      <c r="G4" s="27">
        <f>(4.2+5.4+6.23)/3</f>
        <v>5.2766666666666673</v>
      </c>
      <c r="H4" s="27">
        <f t="shared" ref="H4:H22" si="0">F4*E4</f>
        <v>25.146666666666665</v>
      </c>
      <c r="I4" s="27">
        <f t="shared" ref="I4:I22" si="1">G4*E4</f>
        <v>21.106666666666669</v>
      </c>
    </row>
    <row r="5" spans="1:9" ht="15.75" thickBot="1" x14ac:dyDescent="0.3">
      <c r="A5" s="28">
        <v>2</v>
      </c>
      <c r="B5" s="29" t="s">
        <v>102</v>
      </c>
      <c r="C5" s="30" t="s">
        <v>11</v>
      </c>
      <c r="D5" s="30" t="s">
        <v>11</v>
      </c>
      <c r="E5" s="68">
        <v>2</v>
      </c>
      <c r="F5" s="32">
        <f>(2.07+2.3+2.53)/3</f>
        <v>2.2999999999999994</v>
      </c>
      <c r="G5" s="32">
        <f>(2.07+2.3+2.53)/3</f>
        <v>2.2999999999999994</v>
      </c>
      <c r="H5" s="32">
        <f t="shared" si="0"/>
        <v>4.5999999999999988</v>
      </c>
      <c r="I5" s="32">
        <f t="shared" si="1"/>
        <v>4.5999999999999988</v>
      </c>
    </row>
    <row r="6" spans="1:9" ht="15.75" thickBot="1" x14ac:dyDescent="0.3">
      <c r="A6" s="28">
        <v>2</v>
      </c>
      <c r="B6" s="29" t="s">
        <v>103</v>
      </c>
      <c r="C6" s="30" t="s">
        <v>75</v>
      </c>
      <c r="D6" s="30" t="s">
        <v>75</v>
      </c>
      <c r="E6" s="68">
        <v>2</v>
      </c>
      <c r="F6" s="32">
        <f>(2.1+2.45+2.58)/3</f>
        <v>2.3766666666666669</v>
      </c>
      <c r="G6" s="32">
        <f>(2.1+2.45+2.58)/3</f>
        <v>2.3766666666666669</v>
      </c>
      <c r="H6" s="32">
        <f t="shared" si="0"/>
        <v>4.7533333333333339</v>
      </c>
      <c r="I6" s="32">
        <f t="shared" si="1"/>
        <v>4.7533333333333339</v>
      </c>
    </row>
    <row r="7" spans="1:9" ht="15.75" thickBot="1" x14ac:dyDescent="0.3">
      <c r="A7" s="33">
        <v>3</v>
      </c>
      <c r="B7" s="34" t="s">
        <v>104</v>
      </c>
      <c r="C7" s="35" t="s">
        <v>14</v>
      </c>
      <c r="D7" s="35" t="s">
        <v>14</v>
      </c>
      <c r="E7" s="64">
        <v>2</v>
      </c>
      <c r="F7" s="37">
        <f>(1.53+1.7+1.87)/3</f>
        <v>1.7</v>
      </c>
      <c r="G7" s="37">
        <f>(1.53+1.7+1.87)/3</f>
        <v>1.7</v>
      </c>
      <c r="H7" s="37">
        <f t="shared" si="0"/>
        <v>3.4</v>
      </c>
      <c r="I7" s="37">
        <f t="shared" si="1"/>
        <v>3.4</v>
      </c>
    </row>
    <row r="8" spans="1:9" ht="15.75" thickBot="1" x14ac:dyDescent="0.3">
      <c r="A8" s="33">
        <v>3</v>
      </c>
      <c r="B8" s="34" t="s">
        <v>105</v>
      </c>
      <c r="C8" s="35" t="s">
        <v>15</v>
      </c>
      <c r="D8" s="35" t="s">
        <v>77</v>
      </c>
      <c r="E8" s="64">
        <v>2</v>
      </c>
      <c r="F8" s="37">
        <f>(1.62+1.8+1.98)/3</f>
        <v>1.8</v>
      </c>
      <c r="G8" s="37">
        <f>(1.2+1.34+1.6)/3</f>
        <v>1.3800000000000001</v>
      </c>
      <c r="H8" s="37">
        <f t="shared" si="0"/>
        <v>3.6</v>
      </c>
      <c r="I8" s="37">
        <f t="shared" si="1"/>
        <v>2.7600000000000002</v>
      </c>
    </row>
    <row r="9" spans="1:9" ht="15.75" thickBot="1" x14ac:dyDescent="0.3">
      <c r="A9" s="33">
        <v>3</v>
      </c>
      <c r="B9" s="34" t="s">
        <v>106</v>
      </c>
      <c r="C9" s="35" t="s">
        <v>107</v>
      </c>
      <c r="D9" s="35" t="s">
        <v>108</v>
      </c>
      <c r="E9" s="64">
        <v>4</v>
      </c>
      <c r="F9" s="37">
        <f>(18+20+22)/3</f>
        <v>20</v>
      </c>
      <c r="G9" s="37">
        <f>(13.2+15.3+16)/3</f>
        <v>14.833333333333334</v>
      </c>
      <c r="H9" s="37">
        <f t="shared" si="0"/>
        <v>80</v>
      </c>
      <c r="I9" s="37">
        <f t="shared" si="1"/>
        <v>59.333333333333336</v>
      </c>
    </row>
    <row r="10" spans="1:9" ht="15.75" thickBot="1" x14ac:dyDescent="0.3">
      <c r="A10" s="38">
        <v>4</v>
      </c>
      <c r="B10" s="39" t="s">
        <v>109</v>
      </c>
      <c r="C10" s="40" t="s">
        <v>110</v>
      </c>
      <c r="D10" s="40" t="s">
        <v>110</v>
      </c>
      <c r="E10" s="85">
        <v>2</v>
      </c>
      <c r="F10" s="42">
        <f>(1.6+1.8+1.9)/3</f>
        <v>1.7666666666666668</v>
      </c>
      <c r="G10" s="42">
        <f>(1.6+1.8+1.9)/3</f>
        <v>1.7666666666666668</v>
      </c>
      <c r="H10" s="42">
        <f t="shared" si="0"/>
        <v>3.5333333333333337</v>
      </c>
      <c r="I10" s="42">
        <f t="shared" si="1"/>
        <v>3.5333333333333337</v>
      </c>
    </row>
    <row r="11" spans="1:9" ht="15.75" thickBot="1" x14ac:dyDescent="0.3">
      <c r="A11" s="38">
        <v>4</v>
      </c>
      <c r="B11" s="39" t="s">
        <v>111</v>
      </c>
      <c r="C11" s="40" t="s">
        <v>23</v>
      </c>
      <c r="D11" s="40" t="s">
        <v>23</v>
      </c>
      <c r="E11" s="85">
        <v>2</v>
      </c>
      <c r="F11" s="42">
        <f>(1.89+2.1+2.31)/3</f>
        <v>2.1</v>
      </c>
      <c r="G11" s="42">
        <f>(1.89+2.1+2.31)/3</f>
        <v>2.1</v>
      </c>
      <c r="H11" s="42">
        <f t="shared" si="0"/>
        <v>4.2</v>
      </c>
      <c r="I11" s="42">
        <f t="shared" si="1"/>
        <v>4.2</v>
      </c>
    </row>
    <row r="12" spans="1:9" ht="15.75" thickBot="1" x14ac:dyDescent="0.3">
      <c r="A12" s="43">
        <v>5</v>
      </c>
      <c r="B12" s="44" t="s">
        <v>112</v>
      </c>
      <c r="C12" s="45" t="s">
        <v>24</v>
      </c>
      <c r="D12" s="45" t="s">
        <v>85</v>
      </c>
      <c r="E12" s="87">
        <v>2</v>
      </c>
      <c r="F12" s="47">
        <f>(2.34+2.6+2.86)/3</f>
        <v>2.5999999999999996</v>
      </c>
      <c r="G12" s="47">
        <f>(2.44+2.65+3.6)/3</f>
        <v>2.8966666666666665</v>
      </c>
      <c r="H12" s="47">
        <f t="shared" si="0"/>
        <v>5.1999999999999993</v>
      </c>
      <c r="I12" s="47">
        <f t="shared" si="1"/>
        <v>5.793333333333333</v>
      </c>
    </row>
    <row r="13" spans="1:9" ht="15.75" thickBot="1" x14ac:dyDescent="0.3">
      <c r="A13" s="48">
        <v>6</v>
      </c>
      <c r="B13" s="49" t="s">
        <v>113</v>
      </c>
      <c r="C13" s="50" t="s">
        <v>57</v>
      </c>
      <c r="D13" s="50" t="s">
        <v>57</v>
      </c>
      <c r="E13" s="89">
        <v>2</v>
      </c>
      <c r="F13" s="52">
        <f>(0.9+1+1.1)/3</f>
        <v>1</v>
      </c>
      <c r="G13" s="52">
        <f>(0.9+1+1.1)/3</f>
        <v>1</v>
      </c>
      <c r="H13" s="52">
        <f t="shared" si="0"/>
        <v>2</v>
      </c>
      <c r="I13" s="52">
        <f t="shared" si="1"/>
        <v>2</v>
      </c>
    </row>
    <row r="14" spans="1:9" ht="15.75" thickBot="1" x14ac:dyDescent="0.3">
      <c r="A14" s="48">
        <v>6</v>
      </c>
      <c r="B14" s="49" t="s">
        <v>114</v>
      </c>
      <c r="C14" s="50" t="s">
        <v>60</v>
      </c>
      <c r="D14" s="50" t="s">
        <v>88</v>
      </c>
      <c r="E14" s="89">
        <v>3</v>
      </c>
      <c r="F14" s="52">
        <f>(12+15+17)/3</f>
        <v>14.666666666666666</v>
      </c>
      <c r="G14" s="52">
        <f>(10+12+15)/3</f>
        <v>12.333333333333334</v>
      </c>
      <c r="H14" s="52">
        <f t="shared" si="0"/>
        <v>44</v>
      </c>
      <c r="I14" s="52">
        <f t="shared" si="1"/>
        <v>37</v>
      </c>
    </row>
    <row r="15" spans="1:9" ht="15.75" thickBot="1" x14ac:dyDescent="0.3">
      <c r="A15" s="48">
        <v>6</v>
      </c>
      <c r="B15" s="49" t="s">
        <v>115</v>
      </c>
      <c r="C15" s="50" t="s">
        <v>30</v>
      </c>
      <c r="D15" s="50" t="s">
        <v>30</v>
      </c>
      <c r="E15" s="89">
        <v>2</v>
      </c>
      <c r="F15" s="52">
        <f>(1.35+1.5+1.65)/3</f>
        <v>1.5</v>
      </c>
      <c r="G15" s="52">
        <f>(1.35+1.5+1.65)/3</f>
        <v>1.5</v>
      </c>
      <c r="H15" s="52">
        <f t="shared" si="0"/>
        <v>3</v>
      </c>
      <c r="I15" s="52">
        <f t="shared" si="1"/>
        <v>3</v>
      </c>
    </row>
    <row r="16" spans="1:9" ht="15.75" thickBot="1" x14ac:dyDescent="0.3">
      <c r="A16" s="53">
        <v>7</v>
      </c>
      <c r="B16" s="54" t="s">
        <v>116</v>
      </c>
      <c r="C16" s="55" t="s">
        <v>31</v>
      </c>
      <c r="D16" s="55" t="s">
        <v>31</v>
      </c>
      <c r="E16" s="91">
        <v>4</v>
      </c>
      <c r="F16" s="57">
        <f>(5+6.5+7.2)/3</f>
        <v>6.2333333333333334</v>
      </c>
      <c r="G16" s="57">
        <f>(5+6.5+7.2)/3</f>
        <v>6.2333333333333334</v>
      </c>
      <c r="H16" s="57">
        <f t="shared" si="0"/>
        <v>24.933333333333334</v>
      </c>
      <c r="I16" s="57">
        <f t="shared" si="1"/>
        <v>24.933333333333334</v>
      </c>
    </row>
    <row r="17" spans="1:9" ht="15.75" thickBot="1" x14ac:dyDescent="0.3">
      <c r="A17" s="79">
        <v>8</v>
      </c>
      <c r="B17" s="80" t="s">
        <v>117</v>
      </c>
      <c r="C17" s="81" t="s">
        <v>33</v>
      </c>
      <c r="D17" s="81" t="s">
        <v>33</v>
      </c>
      <c r="E17" s="93">
        <v>2</v>
      </c>
      <c r="F17" s="83">
        <f>(0.72+0.8+0.88)/3</f>
        <v>0.79999999999999993</v>
      </c>
      <c r="G17" s="83">
        <f>(0.72+0.8+0.88)/3</f>
        <v>0.79999999999999993</v>
      </c>
      <c r="H17" s="83">
        <f t="shared" si="0"/>
        <v>1.5999999999999999</v>
      </c>
      <c r="I17" s="83">
        <f t="shared" si="1"/>
        <v>1.5999999999999999</v>
      </c>
    </row>
    <row r="18" spans="1:9" ht="15.75" thickBot="1" x14ac:dyDescent="0.3">
      <c r="A18" s="58">
        <v>9</v>
      </c>
      <c r="B18" s="59" t="s">
        <v>118</v>
      </c>
      <c r="C18" s="60" t="s">
        <v>93</v>
      </c>
      <c r="D18" s="60" t="s">
        <v>93</v>
      </c>
      <c r="E18" s="95">
        <v>4</v>
      </c>
      <c r="F18" s="62">
        <f>(16.25+18+19.5)/3</f>
        <v>17.916666666666668</v>
      </c>
      <c r="G18" s="62">
        <f>(16.25+18+19.5)/3</f>
        <v>17.916666666666668</v>
      </c>
      <c r="H18" s="62">
        <f t="shared" si="0"/>
        <v>71.666666666666671</v>
      </c>
      <c r="I18" s="62">
        <f t="shared" si="1"/>
        <v>71.666666666666671</v>
      </c>
    </row>
    <row r="19" spans="1:9" ht="15.75" thickBot="1" x14ac:dyDescent="0.3">
      <c r="A19" s="58">
        <v>9</v>
      </c>
      <c r="B19" s="59" t="s">
        <v>119</v>
      </c>
      <c r="C19" s="60" t="s">
        <v>14</v>
      </c>
      <c r="D19" s="60" t="s">
        <v>94</v>
      </c>
      <c r="E19" s="95">
        <v>2</v>
      </c>
      <c r="F19" s="62">
        <f>(1.53+1.7+1.87)/3</f>
        <v>1.7</v>
      </c>
      <c r="G19" s="62">
        <f>(1.44+2.3+3.1)/3</f>
        <v>2.2799999999999998</v>
      </c>
      <c r="H19" s="62">
        <f t="shared" si="0"/>
        <v>3.4</v>
      </c>
      <c r="I19" s="62">
        <f t="shared" si="1"/>
        <v>4.5599999999999996</v>
      </c>
    </row>
    <row r="20" spans="1:9" ht="15.75" thickBot="1" x14ac:dyDescent="0.3">
      <c r="A20" s="69">
        <v>10</v>
      </c>
      <c r="B20" s="70" t="s">
        <v>120</v>
      </c>
      <c r="C20" s="71" t="s">
        <v>57</v>
      </c>
      <c r="D20" s="71" t="s">
        <v>57</v>
      </c>
      <c r="E20" s="97">
        <v>3</v>
      </c>
      <c r="F20" s="73">
        <f>(0.9+1+1.1)/3</f>
        <v>1</v>
      </c>
      <c r="G20" s="73">
        <f>(0.9+1+1.1)/3</f>
        <v>1</v>
      </c>
      <c r="H20" s="73">
        <f t="shared" si="0"/>
        <v>3</v>
      </c>
      <c r="I20" s="73">
        <f t="shared" si="1"/>
        <v>3</v>
      </c>
    </row>
    <row r="21" spans="1:9" ht="15.75" thickBot="1" x14ac:dyDescent="0.3">
      <c r="A21" s="74">
        <v>11</v>
      </c>
      <c r="B21" s="75" t="s">
        <v>121</v>
      </c>
      <c r="C21" s="76" t="s">
        <v>39</v>
      </c>
      <c r="D21" s="76" t="s">
        <v>39</v>
      </c>
      <c r="E21" s="99">
        <v>1</v>
      </c>
      <c r="F21" s="78">
        <f>(0.45+0.5+0.55)/3</f>
        <v>0.5</v>
      </c>
      <c r="G21" s="78">
        <f>(0.45+0.5+0.55)/3</f>
        <v>0.5</v>
      </c>
      <c r="H21" s="78">
        <f t="shared" si="0"/>
        <v>0.5</v>
      </c>
      <c r="I21" s="78">
        <f t="shared" si="1"/>
        <v>0.5</v>
      </c>
    </row>
    <row r="22" spans="1:9" ht="15.75" thickBot="1" x14ac:dyDescent="0.3">
      <c r="A22" s="74">
        <v>11</v>
      </c>
      <c r="B22" s="75" t="s">
        <v>122</v>
      </c>
      <c r="C22" s="76" t="s">
        <v>29</v>
      </c>
      <c r="D22" s="76" t="s">
        <v>29</v>
      </c>
      <c r="E22" s="99">
        <v>3</v>
      </c>
      <c r="F22" s="78">
        <f>(1.71+1.9+2.09)/3</f>
        <v>1.8999999999999997</v>
      </c>
      <c r="G22" s="78">
        <f>(1.71+1.9+2.09)/3</f>
        <v>1.8999999999999997</v>
      </c>
      <c r="H22" s="78">
        <f t="shared" si="0"/>
        <v>5.6999999999999993</v>
      </c>
      <c r="I22" s="78">
        <f t="shared" si="1"/>
        <v>5.6999999999999993</v>
      </c>
    </row>
    <row r="23" spans="1:9" x14ac:dyDescent="0.25">
      <c r="F23" s="13">
        <f>SUM(F3:F22)</f>
        <v>90.586666666666673</v>
      </c>
      <c r="G23" s="13">
        <f>SUM(G3:G22)</f>
        <v>82.280000000000015</v>
      </c>
      <c r="H23" s="21">
        <f>SUM(H3:H22)</f>
        <v>299.11333333333329</v>
      </c>
      <c r="I23" s="21">
        <f>SUM(I3:I22)</f>
        <v>267.81333333333333</v>
      </c>
    </row>
    <row r="25" spans="1:9" x14ac:dyDescent="0.25">
      <c r="A25" s="9" t="s">
        <v>155</v>
      </c>
      <c r="B25" s="9" t="s">
        <v>156</v>
      </c>
      <c r="C25" s="9" t="s">
        <v>157</v>
      </c>
      <c r="D25" s="9" t="s">
        <v>158</v>
      </c>
    </row>
    <row r="26" spans="1:9" x14ac:dyDescent="0.25">
      <c r="A26" s="10">
        <v>1</v>
      </c>
      <c r="B26" s="10">
        <f>SUM(E3:E4)</f>
        <v>6</v>
      </c>
      <c r="C26" s="11">
        <f>MAX(F3:F4)</f>
        <v>6.2866666666666662</v>
      </c>
      <c r="D26" s="11">
        <f>MAX(G3:G4)</f>
        <v>5.2766666666666673</v>
      </c>
    </row>
    <row r="27" spans="1:9" x14ac:dyDescent="0.25">
      <c r="A27" s="10">
        <v>2</v>
      </c>
      <c r="B27" s="10">
        <f>SUM(E5:E6)</f>
        <v>4</v>
      </c>
      <c r="C27" s="11">
        <f>MAX(F5:F6)</f>
        <v>2.3766666666666669</v>
      </c>
      <c r="D27" s="11">
        <f>MAX(G5:G6)</f>
        <v>2.3766666666666669</v>
      </c>
    </row>
    <row r="28" spans="1:9" x14ac:dyDescent="0.25">
      <c r="A28" s="10">
        <v>3</v>
      </c>
      <c r="B28" s="10">
        <f>SUM(E7:E9)</f>
        <v>8</v>
      </c>
      <c r="C28" s="11">
        <f>MAX(F7:F9)</f>
        <v>20</v>
      </c>
      <c r="D28" s="11">
        <f>MAX(G7:G9)</f>
        <v>14.833333333333334</v>
      </c>
    </row>
    <row r="29" spans="1:9" x14ac:dyDescent="0.25">
      <c r="A29" s="10">
        <v>4</v>
      </c>
      <c r="B29" s="10">
        <f>SUM(E10:E11)</f>
        <v>4</v>
      </c>
      <c r="C29" s="11">
        <f>MAX(F10:F11)</f>
        <v>2.1</v>
      </c>
      <c r="D29" s="11">
        <f>MAX(G10:G11)</f>
        <v>2.1</v>
      </c>
    </row>
    <row r="30" spans="1:9" x14ac:dyDescent="0.25">
      <c r="A30" s="10">
        <v>5</v>
      </c>
      <c r="B30" s="10">
        <f>SUM(E12)</f>
        <v>2</v>
      </c>
      <c r="C30" s="11">
        <f>MAX(F12)</f>
        <v>2.5999999999999996</v>
      </c>
      <c r="D30" s="11">
        <f>MAX(G12)</f>
        <v>2.8966666666666665</v>
      </c>
    </row>
    <row r="31" spans="1:9" x14ac:dyDescent="0.25">
      <c r="A31" s="10">
        <v>6</v>
      </c>
      <c r="B31" s="10">
        <f>SUM(E13:E15)</f>
        <v>7</v>
      </c>
      <c r="C31" s="11">
        <f>MAX(F13:F15)</f>
        <v>14.666666666666666</v>
      </c>
      <c r="D31" s="11">
        <f>MAX(G13:G15)</f>
        <v>12.333333333333334</v>
      </c>
    </row>
    <row r="32" spans="1:9" x14ac:dyDescent="0.25">
      <c r="A32" s="10">
        <v>7</v>
      </c>
      <c r="B32" s="10">
        <f>SUM(E16)</f>
        <v>4</v>
      </c>
      <c r="C32" s="11">
        <f>MAX(F16)</f>
        <v>6.2333333333333334</v>
      </c>
      <c r="D32" s="11">
        <f>MAX(G16)</f>
        <v>6.2333333333333334</v>
      </c>
    </row>
    <row r="33" spans="1:4" x14ac:dyDescent="0.25">
      <c r="A33" s="10">
        <v>8</v>
      </c>
      <c r="B33" s="10">
        <f>SUM(E17)</f>
        <v>2</v>
      </c>
      <c r="C33" s="11">
        <f>MAX(F17)</f>
        <v>0.79999999999999993</v>
      </c>
      <c r="D33" s="11">
        <f>MAX(G17)</f>
        <v>0.79999999999999993</v>
      </c>
    </row>
    <row r="34" spans="1:4" x14ac:dyDescent="0.25">
      <c r="A34" s="10">
        <v>9</v>
      </c>
      <c r="B34" s="10">
        <f>SUM(E18:E19)</f>
        <v>6</v>
      </c>
      <c r="C34" s="11">
        <f>MAX(F18:F19)</f>
        <v>17.916666666666668</v>
      </c>
      <c r="D34" s="11">
        <f>MAX(G18:G19)</f>
        <v>17.916666666666668</v>
      </c>
    </row>
    <row r="35" spans="1:4" x14ac:dyDescent="0.25">
      <c r="A35" s="10">
        <v>10</v>
      </c>
      <c r="B35" s="10">
        <f>SUM(E20)</f>
        <v>3</v>
      </c>
      <c r="C35" s="11">
        <f>MAX(F20)</f>
        <v>1</v>
      </c>
      <c r="D35" s="11">
        <f>MAX(G20)</f>
        <v>1</v>
      </c>
    </row>
    <row r="36" spans="1:4" x14ac:dyDescent="0.25">
      <c r="A36" s="10">
        <v>11</v>
      </c>
      <c r="B36" s="10">
        <f>SUM(E21:E22)</f>
        <v>4</v>
      </c>
      <c r="C36" s="11">
        <f>MAX(F21:F22)</f>
        <v>1.8999999999999997</v>
      </c>
      <c r="D36" s="11">
        <f>MAX(G21:G22)</f>
        <v>1.8999999999999997</v>
      </c>
    </row>
    <row r="37" spans="1:4" x14ac:dyDescent="0.25">
      <c r="C37" s="13">
        <f>SUM(C26:C36)</f>
        <v>75.88000000000001</v>
      </c>
      <c r="D37" s="13">
        <f>SUM(D26:D36)</f>
        <v>67.666666666666671</v>
      </c>
    </row>
  </sheetData>
  <mergeCells count="6">
    <mergeCell ref="I1:I2"/>
    <mergeCell ref="A1:A2"/>
    <mergeCell ref="B1:B2"/>
    <mergeCell ref="F1:F2"/>
    <mergeCell ref="G1:G2"/>
    <mergeCell ref="H1:H2"/>
  </mergeCells>
  <pageMargins left="0.7" right="0.7" top="0.75" bottom="0.75" header="0.3" footer="0.3"/>
  <ignoredErrors>
    <ignoredError sqref="B36 B34 B31 B26:B2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zoomScale="134" workbookViewId="0">
      <selection activeCell="G8" sqref="G8"/>
    </sheetView>
  </sheetViews>
  <sheetFormatPr baseColWidth="10" defaultColWidth="9.140625" defaultRowHeight="15" x14ac:dyDescent="0.25"/>
  <cols>
    <col min="2" max="2" width="28" bestFit="1" customWidth="1"/>
    <col min="3" max="4" width="30.7109375" bestFit="1" customWidth="1"/>
    <col min="5" max="5" width="10.42578125" bestFit="1" customWidth="1"/>
    <col min="8" max="9" width="16.28515625" customWidth="1"/>
  </cols>
  <sheetData>
    <row r="1" spans="1:9" x14ac:dyDescent="0.25">
      <c r="A1" s="104" t="s">
        <v>0</v>
      </c>
      <c r="B1" s="104" t="s">
        <v>1</v>
      </c>
      <c r="C1" s="2" t="s">
        <v>2</v>
      </c>
      <c r="D1" s="2" t="s">
        <v>2</v>
      </c>
      <c r="E1" s="2" t="s">
        <v>5</v>
      </c>
      <c r="F1" s="103" t="s">
        <v>137</v>
      </c>
      <c r="G1" s="103" t="s">
        <v>138</v>
      </c>
      <c r="H1" s="103" t="s">
        <v>153</v>
      </c>
      <c r="I1" s="103" t="s">
        <v>154</v>
      </c>
    </row>
    <row r="2" spans="1:9" ht="24.75" customHeight="1" thickBot="1" x14ac:dyDescent="0.3">
      <c r="A2" s="105"/>
      <c r="B2" s="105"/>
      <c r="C2" s="3" t="s">
        <v>3</v>
      </c>
      <c r="D2" s="3" t="s">
        <v>4</v>
      </c>
      <c r="E2" s="3" t="s">
        <v>6</v>
      </c>
      <c r="F2" s="103"/>
      <c r="G2" s="103"/>
      <c r="H2" s="103"/>
      <c r="I2" s="103"/>
    </row>
    <row r="3" spans="1:9" ht="15.75" thickBot="1" x14ac:dyDescent="0.3">
      <c r="A3" s="23">
        <v>1</v>
      </c>
      <c r="B3" s="24" t="s">
        <v>123</v>
      </c>
      <c r="C3" s="25" t="s">
        <v>8</v>
      </c>
      <c r="D3" s="25" t="s">
        <v>8</v>
      </c>
      <c r="E3" s="66">
        <v>2</v>
      </c>
      <c r="F3" s="27">
        <f>(1.98+2.2+2.42)/3</f>
        <v>2.1999999999999997</v>
      </c>
      <c r="G3" s="27">
        <f>(1.98+2.2+2.42)/3</f>
        <v>2.1999999999999997</v>
      </c>
      <c r="H3" s="27">
        <f>F3*E3</f>
        <v>4.3999999999999995</v>
      </c>
      <c r="I3" s="27">
        <f>G3*E3</f>
        <v>4.3999999999999995</v>
      </c>
    </row>
    <row r="4" spans="1:9" ht="15.75" thickBot="1" x14ac:dyDescent="0.3">
      <c r="A4" s="23">
        <v>1</v>
      </c>
      <c r="B4" s="24" t="s">
        <v>124</v>
      </c>
      <c r="C4" s="25" t="s">
        <v>8</v>
      </c>
      <c r="D4" s="25" t="s">
        <v>8</v>
      </c>
      <c r="E4" s="66">
        <v>3</v>
      </c>
      <c r="F4" s="27">
        <f>(1.98+2.2+2.42)/3</f>
        <v>2.1999999999999997</v>
      </c>
      <c r="G4" s="27">
        <f>(1.98+2.2+2.42)/3</f>
        <v>2.1999999999999997</v>
      </c>
      <c r="H4" s="27">
        <f t="shared" ref="H4:H7" si="0">F4*E4</f>
        <v>6.6</v>
      </c>
      <c r="I4" s="27">
        <f t="shared" ref="I4:I7" si="1">G4*E4</f>
        <v>6.6</v>
      </c>
    </row>
    <row r="5" spans="1:9" ht="15.75" thickBot="1" x14ac:dyDescent="0.3">
      <c r="A5" s="28">
        <v>2</v>
      </c>
      <c r="B5" s="29" t="s">
        <v>125</v>
      </c>
      <c r="C5" s="30" t="s">
        <v>11</v>
      </c>
      <c r="D5" s="30" t="s">
        <v>11</v>
      </c>
      <c r="E5" s="68">
        <v>2</v>
      </c>
      <c r="F5" s="32">
        <f>(2.07+2.3+2.53)/3</f>
        <v>2.2999999999999994</v>
      </c>
      <c r="G5" s="32">
        <f>(2.07+2.3+2.53)/3</f>
        <v>2.2999999999999994</v>
      </c>
      <c r="H5" s="32">
        <f t="shared" si="0"/>
        <v>4.5999999999999988</v>
      </c>
      <c r="I5" s="32">
        <f t="shared" si="1"/>
        <v>4.5999999999999988</v>
      </c>
    </row>
    <row r="6" spans="1:9" ht="15.75" thickBot="1" x14ac:dyDescent="0.3">
      <c r="A6" s="28">
        <v>2</v>
      </c>
      <c r="B6" s="29" t="s">
        <v>126</v>
      </c>
      <c r="C6" s="30" t="s">
        <v>127</v>
      </c>
      <c r="D6" s="30" t="s">
        <v>127</v>
      </c>
      <c r="E6" s="68">
        <v>2</v>
      </c>
      <c r="F6" s="32">
        <f>(2.25+2.5+2.75)/3</f>
        <v>2.5</v>
      </c>
      <c r="G6" s="32">
        <f>(2.25+2.5+2.75)/3</f>
        <v>2.5</v>
      </c>
      <c r="H6" s="32">
        <f t="shared" si="0"/>
        <v>5</v>
      </c>
      <c r="I6" s="32">
        <f t="shared" si="1"/>
        <v>5</v>
      </c>
    </row>
    <row r="7" spans="1:9" ht="15" customHeight="1" thickBot="1" x14ac:dyDescent="0.3">
      <c r="A7" s="33">
        <v>3</v>
      </c>
      <c r="B7" s="34" t="s">
        <v>128</v>
      </c>
      <c r="C7" s="35" t="s">
        <v>14</v>
      </c>
      <c r="D7" s="35" t="s">
        <v>14</v>
      </c>
      <c r="E7" s="64">
        <v>2</v>
      </c>
      <c r="F7" s="37">
        <f>(1.53+1.7+1.87)/3</f>
        <v>1.7</v>
      </c>
      <c r="G7" s="37">
        <f>(1.53+1.7+1.87)/3</f>
        <v>1.7</v>
      </c>
      <c r="H7" s="37">
        <f t="shared" si="0"/>
        <v>3.4</v>
      </c>
      <c r="I7" s="37">
        <f t="shared" si="1"/>
        <v>3.4</v>
      </c>
    </row>
    <row r="8" spans="1:9" x14ac:dyDescent="0.25">
      <c r="F8" s="13">
        <f>SUM(F3:F7)</f>
        <v>10.899999999999999</v>
      </c>
      <c r="G8" s="13">
        <f>SUM(G3:G7)</f>
        <v>10.899999999999999</v>
      </c>
      <c r="H8" s="13">
        <f>SUM(H3:H7)</f>
        <v>23.999999999999996</v>
      </c>
      <c r="I8" s="13">
        <f>SUM(I3:I7)</f>
        <v>23.999999999999996</v>
      </c>
    </row>
    <row r="11" spans="1:9" x14ac:dyDescent="0.25">
      <c r="A11" s="10" t="s">
        <v>155</v>
      </c>
      <c r="B11" s="10" t="s">
        <v>156</v>
      </c>
      <c r="C11" s="10" t="s">
        <v>157</v>
      </c>
      <c r="D11" s="10" t="s">
        <v>158</v>
      </c>
    </row>
    <row r="12" spans="1:9" x14ac:dyDescent="0.25">
      <c r="A12" s="10">
        <v>1</v>
      </c>
      <c r="B12" s="10">
        <f>SUM(E3:E4)</f>
        <v>5</v>
      </c>
      <c r="C12" s="11">
        <f>MAX(F3:F4)</f>
        <v>2.1999999999999997</v>
      </c>
      <c r="D12" s="11">
        <f>MAX(G3:G4)</f>
        <v>2.1999999999999997</v>
      </c>
    </row>
    <row r="13" spans="1:9" x14ac:dyDescent="0.25">
      <c r="A13" s="10">
        <v>2</v>
      </c>
      <c r="B13" s="10">
        <f>SUM(E5:E6)</f>
        <v>4</v>
      </c>
      <c r="C13" s="11">
        <f>MAX(F5:F6)</f>
        <v>2.5</v>
      </c>
      <c r="D13" s="11">
        <f>MAX(G5:G6)</f>
        <v>2.5</v>
      </c>
    </row>
    <row r="14" spans="1:9" x14ac:dyDescent="0.25">
      <c r="A14" s="10">
        <v>3</v>
      </c>
      <c r="B14" s="10">
        <f>SUM(E7)</f>
        <v>2</v>
      </c>
      <c r="C14" s="11">
        <f>MAX(F7)</f>
        <v>1.7</v>
      </c>
      <c r="D14" s="11">
        <f>MAX(G7)</f>
        <v>1.7</v>
      </c>
    </row>
    <row r="15" spans="1:9" x14ac:dyDescent="0.25">
      <c r="C15" s="13">
        <f>SUM(C12:C14)</f>
        <v>6.3999999999999995</v>
      </c>
      <c r="D15" s="13">
        <f>SUM(D12:D14)</f>
        <v>6.3999999999999995</v>
      </c>
    </row>
  </sheetData>
  <mergeCells count="6">
    <mergeCell ref="I1:I2"/>
    <mergeCell ref="A1:A2"/>
    <mergeCell ref="B1:B2"/>
    <mergeCell ref="F1:F2"/>
    <mergeCell ref="G1:G2"/>
    <mergeCell ref="H1:H2"/>
  </mergeCells>
  <pageMargins left="0.7" right="0.7" top="0.75" bottom="0.75" header="0.3" footer="0.3"/>
  <ignoredErrors>
    <ignoredError sqref="B12:B1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F008-BB3E-4CC7-A7EA-6413059DDDCB}">
  <dimension ref="A1:U29"/>
  <sheetViews>
    <sheetView tabSelected="1" workbookViewId="0">
      <selection activeCell="I31" sqref="I31"/>
    </sheetView>
  </sheetViews>
  <sheetFormatPr baseColWidth="10" defaultRowHeight="15" x14ac:dyDescent="0.25"/>
  <cols>
    <col min="1" max="1" width="13.7109375" customWidth="1"/>
    <col min="2" max="2" width="15.42578125" customWidth="1"/>
    <col min="3" max="3" width="18.42578125" customWidth="1"/>
  </cols>
  <sheetData>
    <row r="1" spans="1:21" ht="35.25" customHeight="1" x14ac:dyDescent="0.25">
      <c r="B1" s="16" t="s">
        <v>144</v>
      </c>
      <c r="C1" s="16" t="s">
        <v>145</v>
      </c>
      <c r="D1" s="16" t="s">
        <v>147</v>
      </c>
    </row>
    <row r="2" spans="1:21" ht="15.75" thickBot="1" x14ac:dyDescent="0.3">
      <c r="A2" s="8" t="s">
        <v>139</v>
      </c>
      <c r="B2" s="11">
        <v>94.333299999999994</v>
      </c>
      <c r="C2" s="11">
        <v>79.849999999999994</v>
      </c>
      <c r="D2" s="11">
        <f>SUM(B2:C2)</f>
        <v>174.18329999999997</v>
      </c>
      <c r="F2" t="s">
        <v>148</v>
      </c>
    </row>
    <row r="3" spans="1:21" ht="35.25" customHeight="1" thickBot="1" x14ac:dyDescent="0.3">
      <c r="A3" s="8" t="s">
        <v>140</v>
      </c>
      <c r="B3" s="11">
        <v>116.63330000000001</v>
      </c>
      <c r="C3" s="11">
        <v>116.6567</v>
      </c>
      <c r="D3" s="11">
        <f t="shared" ref="D3:D6" si="0">SUM(B3:C3)</f>
        <v>233.29000000000002</v>
      </c>
      <c r="F3" s="106" t="s">
        <v>151</v>
      </c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</row>
    <row r="4" spans="1:21" ht="15.75" thickBot="1" x14ac:dyDescent="0.3">
      <c r="A4" s="8" t="s">
        <v>141</v>
      </c>
      <c r="B4" s="11">
        <v>87.15</v>
      </c>
      <c r="C4" s="11">
        <v>90.213300000000004</v>
      </c>
      <c r="D4" s="11">
        <f t="shared" si="0"/>
        <v>177.36330000000001</v>
      </c>
      <c r="F4" s="19">
        <v>779.50329999999997</v>
      </c>
    </row>
    <row r="5" spans="1:21" ht="15.75" thickBot="1" x14ac:dyDescent="0.3">
      <c r="A5" s="8" t="s">
        <v>142</v>
      </c>
      <c r="B5" s="11">
        <v>90.586699999999993</v>
      </c>
      <c r="C5" s="11">
        <v>82.28</v>
      </c>
      <c r="D5" s="11">
        <f t="shared" si="0"/>
        <v>172.86669999999998</v>
      </c>
    </row>
    <row r="6" spans="1:21" ht="15.75" thickBot="1" x14ac:dyDescent="0.3">
      <c r="A6" s="8" t="s">
        <v>143</v>
      </c>
      <c r="B6" s="11">
        <v>10.9</v>
      </c>
      <c r="C6" s="11">
        <v>10.9</v>
      </c>
      <c r="D6" s="11">
        <f t="shared" si="0"/>
        <v>21.8</v>
      </c>
      <c r="F6" t="s">
        <v>150</v>
      </c>
    </row>
    <row r="7" spans="1:21" x14ac:dyDescent="0.25">
      <c r="A7" s="17" t="s">
        <v>146</v>
      </c>
      <c r="B7" s="11">
        <f>SUM(B2:B6)</f>
        <v>399.60329999999999</v>
      </c>
      <c r="C7" s="11">
        <f>SUM(C2:C6)</f>
        <v>379.9</v>
      </c>
      <c r="D7" s="20">
        <f>SUM(B7:C7)</f>
        <v>779.50329999999997</v>
      </c>
      <c r="F7" t="s">
        <v>152</v>
      </c>
    </row>
    <row r="8" spans="1:21" x14ac:dyDescent="0.25">
      <c r="D8" s="18"/>
      <c r="F8" s="19">
        <v>2184.5432999999998</v>
      </c>
    </row>
    <row r="9" spans="1:21" ht="44.25" customHeight="1" x14ac:dyDescent="0.25">
      <c r="B9" s="16" t="s">
        <v>153</v>
      </c>
      <c r="C9" s="16" t="s">
        <v>154</v>
      </c>
      <c r="D9" s="16" t="s">
        <v>147</v>
      </c>
    </row>
    <row r="10" spans="1:21" ht="15.75" thickBot="1" x14ac:dyDescent="0.3">
      <c r="A10" s="8" t="s">
        <v>139</v>
      </c>
      <c r="B10" s="11">
        <v>254.7</v>
      </c>
      <c r="C10" s="11">
        <v>214.16669999999999</v>
      </c>
      <c r="D10" s="11">
        <f>SUM(B10:C10)</f>
        <v>468.86669999999998</v>
      </c>
      <c r="F10" t="s">
        <v>159</v>
      </c>
    </row>
    <row r="11" spans="1:21" ht="15.75" thickBot="1" x14ac:dyDescent="0.3">
      <c r="A11" s="8" t="s">
        <v>140</v>
      </c>
      <c r="B11" s="11">
        <v>324.13330000000002</v>
      </c>
      <c r="C11" s="11">
        <v>323.98</v>
      </c>
      <c r="D11" s="11">
        <f t="shared" ref="D11:D14" si="1">SUM(B11:C11)</f>
        <v>648.11329999999998</v>
      </c>
      <c r="F11" t="s">
        <v>149</v>
      </c>
    </row>
    <row r="12" spans="1:21" ht="15.75" thickBot="1" x14ac:dyDescent="0.3">
      <c r="A12" s="8" t="s">
        <v>141</v>
      </c>
      <c r="B12" s="11">
        <v>224.35</v>
      </c>
      <c r="C12" s="11">
        <v>228.2867</v>
      </c>
      <c r="D12" s="11">
        <f t="shared" si="1"/>
        <v>452.63670000000002</v>
      </c>
    </row>
    <row r="13" spans="1:21" ht="15.75" thickBot="1" x14ac:dyDescent="0.3">
      <c r="A13" s="8" t="s">
        <v>142</v>
      </c>
      <c r="B13" s="11">
        <v>299.11329999999998</v>
      </c>
      <c r="C13" s="11">
        <v>267.81330000000003</v>
      </c>
      <c r="D13" s="11">
        <f t="shared" si="1"/>
        <v>566.92660000000001</v>
      </c>
      <c r="F13" t="s">
        <v>160</v>
      </c>
      <c r="I13" s="19">
        <v>332.59660000000002</v>
      </c>
      <c r="J13" t="s">
        <v>162</v>
      </c>
    </row>
    <row r="14" spans="1:21" ht="15.75" thickBot="1" x14ac:dyDescent="0.3">
      <c r="A14" s="8" t="s">
        <v>143</v>
      </c>
      <c r="B14" s="11">
        <v>24</v>
      </c>
      <c r="C14" s="11">
        <v>24</v>
      </c>
      <c r="D14" s="11">
        <f t="shared" si="1"/>
        <v>48</v>
      </c>
      <c r="F14" t="s">
        <v>161</v>
      </c>
      <c r="I14" s="19">
        <v>310.5634</v>
      </c>
      <c r="J14" t="s">
        <v>162</v>
      </c>
    </row>
    <row r="15" spans="1:21" x14ac:dyDescent="0.25">
      <c r="A15" s="17" t="s">
        <v>146</v>
      </c>
      <c r="B15" s="11">
        <f>SUM(B10:B14)</f>
        <v>1126.2966000000001</v>
      </c>
      <c r="C15" s="11">
        <f>SUM(C10:C14)</f>
        <v>1058.2467000000001</v>
      </c>
      <c r="D15" s="20">
        <f>SUM(B15:C15)</f>
        <v>2184.5433000000003</v>
      </c>
    </row>
    <row r="16" spans="1:21" x14ac:dyDescent="0.25">
      <c r="F16" t="s">
        <v>182</v>
      </c>
      <c r="H16" t="s">
        <v>183</v>
      </c>
    </row>
    <row r="17" spans="1:13" x14ac:dyDescent="0.25">
      <c r="B17" s="16" t="s">
        <v>157</v>
      </c>
      <c r="C17" s="16" t="s">
        <v>158</v>
      </c>
      <c r="D17" s="16" t="s">
        <v>147</v>
      </c>
      <c r="F17" t="s">
        <v>176</v>
      </c>
      <c r="J17" s="19" t="s">
        <v>177</v>
      </c>
      <c r="K17" s="19"/>
      <c r="L17" s="102"/>
    </row>
    <row r="18" spans="1:13" ht="15.75" thickBot="1" x14ac:dyDescent="0.3">
      <c r="A18" s="8" t="s">
        <v>139</v>
      </c>
      <c r="B18" s="11">
        <v>79.933300000000003</v>
      </c>
      <c r="C18" s="11">
        <v>65.45</v>
      </c>
      <c r="D18" s="11">
        <f>SUM(B18:C18)</f>
        <v>145.38330000000002</v>
      </c>
      <c r="J18" s="19" t="s">
        <v>178</v>
      </c>
      <c r="K18" s="19"/>
      <c r="L18" s="102"/>
    </row>
    <row r="19" spans="1:13" ht="15.75" thickBot="1" x14ac:dyDescent="0.3">
      <c r="A19" s="8" t="s">
        <v>140</v>
      </c>
      <c r="B19" s="11">
        <v>102.5333</v>
      </c>
      <c r="C19" s="11">
        <v>100.7</v>
      </c>
      <c r="D19" s="11">
        <f t="shared" ref="D19:D22" si="2">SUM(B19:C19)</f>
        <v>203.23329999999999</v>
      </c>
      <c r="F19" t="s">
        <v>179</v>
      </c>
      <c r="J19" s="19" t="s">
        <v>181</v>
      </c>
      <c r="K19" s="19"/>
      <c r="L19" s="102"/>
    </row>
    <row r="20" spans="1:13" ht="15.75" thickBot="1" x14ac:dyDescent="0.3">
      <c r="A20" s="8" t="s">
        <v>141</v>
      </c>
      <c r="B20" s="11">
        <v>67.849999999999994</v>
      </c>
      <c r="C20" s="11">
        <v>70.346699999999998</v>
      </c>
      <c r="D20" s="11">
        <f t="shared" si="2"/>
        <v>138.19669999999999</v>
      </c>
      <c r="J20" s="19" t="s">
        <v>180</v>
      </c>
      <c r="K20" s="19"/>
      <c r="L20" s="102"/>
    </row>
    <row r="21" spans="1:13" ht="15.75" thickBot="1" x14ac:dyDescent="0.3">
      <c r="A21" s="8" t="s">
        <v>142</v>
      </c>
      <c r="B21" s="11">
        <v>75.88</v>
      </c>
      <c r="C21" s="11">
        <v>67.666700000000006</v>
      </c>
      <c r="D21" s="11">
        <f t="shared" si="2"/>
        <v>143.54669999999999</v>
      </c>
    </row>
    <row r="22" spans="1:13" ht="15.75" thickBot="1" x14ac:dyDescent="0.3">
      <c r="A22" s="8" t="s">
        <v>143</v>
      </c>
      <c r="B22" s="11">
        <v>6.4</v>
      </c>
      <c r="C22" s="11">
        <v>6.4</v>
      </c>
      <c r="D22" s="11">
        <f t="shared" si="2"/>
        <v>12.8</v>
      </c>
      <c r="M22" t="s">
        <v>174</v>
      </c>
    </row>
    <row r="23" spans="1:13" x14ac:dyDescent="0.25">
      <c r="A23" s="17" t="s">
        <v>146</v>
      </c>
      <c r="B23" s="11">
        <f>SUM(B18:B22)</f>
        <v>332.59659999999997</v>
      </c>
      <c r="C23" s="11">
        <f>SUM(C18:C22)</f>
        <v>310.5634</v>
      </c>
      <c r="D23" s="20">
        <f>SUM(B23:C23)</f>
        <v>643.16</v>
      </c>
      <c r="M23" t="s">
        <v>175</v>
      </c>
    </row>
    <row r="25" spans="1:13" x14ac:dyDescent="0.25">
      <c r="B25" t="s">
        <v>167</v>
      </c>
      <c r="C25" t="s">
        <v>168</v>
      </c>
      <c r="D25" t="s">
        <v>169</v>
      </c>
      <c r="E25" t="s">
        <v>170</v>
      </c>
      <c r="F25" t="s">
        <v>171</v>
      </c>
      <c r="G25" t="s">
        <v>172</v>
      </c>
      <c r="H25" t="s">
        <v>173</v>
      </c>
      <c r="I25" t="s">
        <v>146</v>
      </c>
    </row>
    <row r="26" spans="1:13" x14ac:dyDescent="0.25">
      <c r="A26" s="17" t="s">
        <v>163</v>
      </c>
      <c r="B26">
        <v>8</v>
      </c>
      <c r="C26">
        <v>8</v>
      </c>
      <c r="D26">
        <f>B26*C26</f>
        <v>64</v>
      </c>
      <c r="E26">
        <f>B26*C26</f>
        <v>64</v>
      </c>
      <c r="F26">
        <f>B26*C26</f>
        <v>64</v>
      </c>
      <c r="G26">
        <f>B26*C26</f>
        <v>64</v>
      </c>
      <c r="H26">
        <f>B26*C26</f>
        <v>64</v>
      </c>
      <c r="I26">
        <f>SUM(D26:H26)</f>
        <v>320</v>
      </c>
    </row>
    <row r="27" spans="1:13" x14ac:dyDescent="0.25">
      <c r="A27" s="17" t="s">
        <v>164</v>
      </c>
      <c r="B27">
        <v>7</v>
      </c>
      <c r="C27">
        <v>8</v>
      </c>
      <c r="D27">
        <f t="shared" ref="D27:D29" si="3">B27*C27</f>
        <v>56</v>
      </c>
      <c r="E27">
        <f t="shared" ref="E27:E29" si="4">B27*C27</f>
        <v>56</v>
      </c>
      <c r="F27">
        <f t="shared" ref="F27:F29" si="5">B27*C27</f>
        <v>56</v>
      </c>
      <c r="G27">
        <f t="shared" ref="G27:G29" si="6">B27*C27</f>
        <v>56</v>
      </c>
      <c r="H27">
        <f t="shared" ref="H27:H29" si="7">B27*C27</f>
        <v>56</v>
      </c>
      <c r="I27">
        <f t="shared" ref="I27:I29" si="8">SUM(D27:H27)</f>
        <v>280</v>
      </c>
    </row>
    <row r="28" spans="1:13" x14ac:dyDescent="0.25">
      <c r="A28" s="17" t="s">
        <v>165</v>
      </c>
      <c r="B28">
        <v>15</v>
      </c>
      <c r="C28">
        <v>8</v>
      </c>
      <c r="D28" s="101">
        <f t="shared" si="3"/>
        <v>120</v>
      </c>
      <c r="E28" s="101">
        <f t="shared" si="4"/>
        <v>120</v>
      </c>
      <c r="F28" s="101">
        <f t="shared" si="5"/>
        <v>120</v>
      </c>
      <c r="G28" s="101">
        <f t="shared" si="6"/>
        <v>120</v>
      </c>
      <c r="H28" s="101">
        <f t="shared" si="7"/>
        <v>120</v>
      </c>
      <c r="I28" s="22">
        <f t="shared" si="8"/>
        <v>600</v>
      </c>
    </row>
    <row r="29" spans="1:13" x14ac:dyDescent="0.25">
      <c r="A29" s="17" t="s">
        <v>166</v>
      </c>
      <c r="B29">
        <f>B28*5</f>
        <v>75</v>
      </c>
      <c r="C29">
        <v>8</v>
      </c>
      <c r="D29" s="101">
        <f t="shared" si="3"/>
        <v>600</v>
      </c>
      <c r="E29" s="101">
        <f t="shared" si="4"/>
        <v>600</v>
      </c>
      <c r="F29" s="101">
        <f t="shared" si="5"/>
        <v>600</v>
      </c>
      <c r="G29" s="101">
        <f t="shared" si="6"/>
        <v>600</v>
      </c>
      <c r="H29" s="101">
        <f t="shared" si="7"/>
        <v>600</v>
      </c>
      <c r="I29" s="22">
        <f t="shared" si="8"/>
        <v>3000</v>
      </c>
    </row>
  </sheetData>
  <mergeCells count="1">
    <mergeCell ref="F3:U3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37B457F282D42972A425B55D4D803" ma:contentTypeVersion="19" ma:contentTypeDescription="Create a new document." ma:contentTypeScope="" ma:versionID="2eefae4929bb12572ae512d095bdd42f">
  <xsd:schema xmlns:xsd="http://www.w3.org/2001/XMLSchema" xmlns:xs="http://www.w3.org/2001/XMLSchema" xmlns:p="http://schemas.microsoft.com/office/2006/metadata/properties" xmlns:ns2="a9675426-1f15-4d94-9594-9a789ad30f9e" xmlns:ns3="3df6117c-a412-4ef6-a058-afdad4ce2251" targetNamespace="http://schemas.microsoft.com/office/2006/metadata/properties" ma:root="true" ma:fieldsID="a45fe1effa60a4ed380b3fc11a6b39fd" ns2:_="" ns3:_="">
    <xsd:import namespace="a9675426-1f15-4d94-9594-9a789ad30f9e"/>
    <xsd:import namespace="3df6117c-a412-4ef6-a058-afdad4ce2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UploadedtoCD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75426-1f15-4d94-9594-9a789ad30f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150de2-4eaa-4d06-9ea3-fdedf8aad9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UploadedtoCDN" ma:index="26" nillable="true" ma:displayName="Uploaded to CDN" ma:format="DateOnly" ma:internalName="UploadedtoCDN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6117c-a412-4ef6-a058-afdad4ce225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ec869f-21dd-4664-99ca-93373b21d20a}" ma:internalName="TaxCatchAll" ma:showField="CatchAllData" ma:web="3df6117c-a412-4ef6-a058-afdad4ce2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f6117c-a412-4ef6-a058-afdad4ce2251" xsi:nil="true"/>
    <UploadedtoCDN xmlns="a9675426-1f15-4d94-9594-9a789ad30f9e" xsi:nil="true"/>
    <lcf76f155ced4ddcb4097134ff3c332f xmlns="a9675426-1f15-4d94-9594-9a789ad30f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E8E293-2D54-49E3-B188-862CEC629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675426-1f15-4d94-9594-9a789ad30f9e"/>
    <ds:schemaRef ds:uri="3df6117c-a412-4ef6-a058-afdad4ce22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B668B5-EF7F-4B79-B510-57DF485671ED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a9675426-1f15-4d94-9594-9a789ad30f9e"/>
    <ds:schemaRef ds:uri="http://purl.org/dc/elements/1.1/"/>
    <ds:schemaRef ds:uri="http://www.w3.org/XML/1998/namespace"/>
    <ds:schemaRef ds:uri="3df6117c-a412-4ef6-a058-afdad4ce2251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853E958-FBF8-4F7E-A50D-107435268B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WorkCell1</vt:lpstr>
      <vt:lpstr>WorkCell2</vt:lpstr>
      <vt:lpstr>WorkCell3</vt:lpstr>
      <vt:lpstr>WorkCell4</vt:lpstr>
      <vt:lpstr>WorkCell5</vt:lpstr>
      <vt:lpstr>Total WorkCell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Thiesing</dc:creator>
  <cp:lastModifiedBy>USUARIO</cp:lastModifiedBy>
  <dcterms:created xsi:type="dcterms:W3CDTF">2016-02-15T14:49:07Z</dcterms:created>
  <dcterms:modified xsi:type="dcterms:W3CDTF">2026-08-13T02:13:32Z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0x010100BD637B457F282D42972A425B55D4D803</vt:lpwstr>
  </property>
</Properties>
</file>