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2026\SegundoSemestre2026\Modela\"/>
    </mc:Choice>
  </mc:AlternateContent>
  <xr:revisionPtr revIDLastSave="0" documentId="13_ncr:1_{7C4D13B9-0498-496E-9C86-8E9E114B4C9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orkCell1" sheetId="1" r:id="rId1"/>
    <sheet name="WorkCell2" sheetId="5" r:id="rId2"/>
    <sheet name="WorkCell3" sheetId="6" r:id="rId3"/>
    <sheet name="WorkCell4" sheetId="7" r:id="rId4"/>
    <sheet name="WorkCell5" sheetId="8" r:id="rId5"/>
    <sheet name="Total WorkCell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9" l="1"/>
  <c r="C15" i="9"/>
  <c r="B15" i="9"/>
  <c r="I8" i="8"/>
  <c r="H8" i="8"/>
  <c r="I4" i="8"/>
  <c r="I5" i="8"/>
  <c r="I6" i="8"/>
  <c r="I7" i="8"/>
  <c r="I3" i="8"/>
  <c r="H4" i="8"/>
  <c r="H5" i="8"/>
  <c r="H6" i="8"/>
  <c r="H7" i="8"/>
  <c r="H3" i="8"/>
  <c r="I23" i="7"/>
  <c r="H2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3" i="7"/>
  <c r="D15" i="9"/>
  <c r="D14" i="9"/>
  <c r="D13" i="9"/>
  <c r="D12" i="9"/>
  <c r="D11" i="9"/>
  <c r="I10" i="6"/>
  <c r="I3" i="6"/>
  <c r="H3" i="6"/>
  <c r="I22" i="6"/>
  <c r="H22" i="6"/>
  <c r="I4" i="6"/>
  <c r="I5" i="6"/>
  <c r="I6" i="6"/>
  <c r="I7" i="6"/>
  <c r="I8" i="6"/>
  <c r="I9" i="6"/>
  <c r="I11" i="6"/>
  <c r="I12" i="6"/>
  <c r="I13" i="6"/>
  <c r="I14" i="6"/>
  <c r="I15" i="6"/>
  <c r="I16" i="6"/>
  <c r="I17" i="6"/>
  <c r="I18" i="6"/>
  <c r="I19" i="6"/>
  <c r="I20" i="6"/>
  <c r="I21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I3" i="5"/>
  <c r="H3" i="5"/>
  <c r="H23" i="5"/>
  <c r="I2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I19" i="1"/>
  <c r="I21" i="1"/>
  <c r="I3" i="1"/>
  <c r="I13" i="1"/>
  <c r="I8" i="1"/>
  <c r="I5" i="1"/>
  <c r="I4" i="1"/>
  <c r="I22" i="1"/>
  <c r="I6" i="1"/>
  <c r="I7" i="1"/>
  <c r="I9" i="1"/>
  <c r="I10" i="1"/>
  <c r="I11" i="1"/>
  <c r="I12" i="1"/>
  <c r="I14" i="1"/>
  <c r="I15" i="1"/>
  <c r="I16" i="1"/>
  <c r="I17" i="1"/>
  <c r="I18" i="1"/>
  <c r="I20" i="1"/>
  <c r="H22" i="1"/>
  <c r="H19" i="1"/>
  <c r="H17" i="1"/>
  <c r="H8" i="1"/>
  <c r="H7" i="1"/>
  <c r="H6" i="1"/>
  <c r="H5" i="1"/>
  <c r="H4" i="1"/>
  <c r="H9" i="1"/>
  <c r="H10" i="1"/>
  <c r="H11" i="1"/>
  <c r="H12" i="1"/>
  <c r="H13" i="1"/>
  <c r="H14" i="1"/>
  <c r="H15" i="1"/>
  <c r="H16" i="1"/>
  <c r="H18" i="1"/>
  <c r="H20" i="1"/>
  <c r="H21" i="1"/>
  <c r="H3" i="1"/>
  <c r="D7" i="9"/>
  <c r="C7" i="9"/>
  <c r="B7" i="9"/>
  <c r="D3" i="9"/>
  <c r="D4" i="9"/>
  <c r="D5" i="9"/>
  <c r="D6" i="9"/>
  <c r="D2" i="9"/>
  <c r="G7" i="8"/>
  <c r="G6" i="8"/>
  <c r="G5" i="8"/>
  <c r="G4" i="8"/>
  <c r="G3" i="8"/>
  <c r="F7" i="8"/>
  <c r="F6" i="8"/>
  <c r="F5" i="8"/>
  <c r="F4" i="8"/>
  <c r="F8" i="8"/>
  <c r="F3" i="8"/>
  <c r="G22" i="7"/>
  <c r="G21" i="7"/>
  <c r="G20" i="7"/>
  <c r="G19" i="7"/>
  <c r="G18" i="7"/>
  <c r="G17" i="7"/>
  <c r="G16" i="7"/>
  <c r="G15" i="7"/>
  <c r="G14" i="7"/>
  <c r="G13" i="7"/>
  <c r="G12" i="7"/>
  <c r="G11" i="7"/>
  <c r="G7" i="7"/>
  <c r="G8" i="7"/>
  <c r="G9" i="7"/>
  <c r="G10" i="7"/>
  <c r="G6" i="7"/>
  <c r="G5" i="7"/>
  <c r="G4" i="7"/>
  <c r="G3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2" i="7"/>
  <c r="F21" i="7"/>
  <c r="F20" i="7"/>
  <c r="F19" i="7"/>
  <c r="F18" i="7"/>
  <c r="F17" i="7"/>
  <c r="G21" i="6"/>
  <c r="G20" i="6"/>
  <c r="G22" i="6"/>
  <c r="G19" i="6"/>
  <c r="G18" i="6"/>
  <c r="G17" i="6"/>
  <c r="G16" i="6"/>
  <c r="G15" i="6"/>
  <c r="G14" i="6"/>
  <c r="G13" i="6"/>
  <c r="G12" i="6"/>
  <c r="G11" i="6"/>
  <c r="G10" i="6"/>
  <c r="G9" i="6"/>
  <c r="G7" i="6"/>
  <c r="G6" i="6"/>
  <c r="G5" i="6"/>
  <c r="G4" i="6"/>
  <c r="G3" i="6"/>
  <c r="G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F22" i="5"/>
  <c r="F23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G22" i="1"/>
  <c r="F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G8" i="8" l="1"/>
  <c r="G23" i="7"/>
  <c r="F23" i="7"/>
  <c r="F22" i="6"/>
</calcChain>
</file>

<file path=xl/sharedStrings.xml><?xml version="1.0" encoding="utf-8"?>
<sst xmlns="http://schemas.openxmlformats.org/spreadsheetml/2006/main" count="331" uniqueCount="154">
  <si>
    <t>Seq #</t>
  </si>
  <si>
    <t>Task</t>
  </si>
  <si>
    <t>LaborHours</t>
  </si>
  <si>
    <t>Part Type1</t>
  </si>
  <si>
    <t>PartType2</t>
  </si>
  <si>
    <t>Mechanics</t>
  </si>
  <si>
    <t>Required</t>
  </si>
  <si>
    <t>T-Clips to assembly</t>
  </si>
  <si>
    <t>Random.Triangular(1.98,2.2,2.42)</t>
  </si>
  <si>
    <t xml:space="preserve">Upper Web </t>
  </si>
  <si>
    <t xml:space="preserve">Upper TV Chord Assembly </t>
  </si>
  <si>
    <t>Random.Triangular(2.07,2.3,2.53)</t>
  </si>
  <si>
    <t>Random.Triangular(10.3,12.1,13.4)</t>
  </si>
  <si>
    <t>T-Clips indexed</t>
  </si>
  <si>
    <t>Random.Triangular(1.53,1.7,1.87)</t>
  </si>
  <si>
    <t>Random.Triangular(1.62,1.8,1.98)</t>
  </si>
  <si>
    <t>Random.Triangular(1,1.2,1.45)</t>
  </si>
  <si>
    <t xml:space="preserve">CRES Splices to the upper chord </t>
  </si>
  <si>
    <t>Random.Triangular(1.8,2,2.2)</t>
  </si>
  <si>
    <t xml:space="preserve">Load drill bars </t>
  </si>
  <si>
    <t>Random.Triangular(16,18,19)</t>
  </si>
  <si>
    <t>Random.Triangular(14,16,18)</t>
  </si>
  <si>
    <t xml:space="preserve">Drill holes to Upper T-Chord Assembly </t>
  </si>
  <si>
    <t>Random.Triangular(1.89,2.1,2.31)</t>
  </si>
  <si>
    <t>Random.Triangular(2.34,2.6,2.86)</t>
  </si>
  <si>
    <t>Remove Drill bars</t>
  </si>
  <si>
    <t>Random.Triangular(9,10,11)</t>
  </si>
  <si>
    <t>Random.Triangular(9,11,12)</t>
  </si>
  <si>
    <t>Temp fastener</t>
  </si>
  <si>
    <t>Random.Triangular(1.71,1.9,2.09)</t>
  </si>
  <si>
    <t>Random.Triangular(1.35,1.5,1.65)</t>
  </si>
  <si>
    <t>Random.Triangular(5,6.5,7.2)</t>
  </si>
  <si>
    <t>Disassemble and Deburr Chord</t>
  </si>
  <si>
    <t>Random.Triangular(0.72,0.8,0.88)</t>
  </si>
  <si>
    <t>Fillet Relef Bulkhead</t>
  </si>
  <si>
    <t>Random.Triangular(21,25.2,27)</t>
  </si>
  <si>
    <t>Random.Triangular(9,11.5,14)</t>
  </si>
  <si>
    <t>Inspect Holes</t>
  </si>
  <si>
    <t xml:space="preserve">Clean </t>
  </si>
  <si>
    <t>Random.Triangular(0.45,0.5,0.55)</t>
  </si>
  <si>
    <t xml:space="preserve"> LH BULKHEAD ASSY </t>
  </si>
  <si>
    <t>Random.Triangular(2.1,2.8,3.17)</t>
  </si>
  <si>
    <t>Operator turn table and rotate to position</t>
  </si>
  <si>
    <t>Random.Triangular(4.3,5.5,6.8)</t>
  </si>
  <si>
    <t>Scanner</t>
  </si>
  <si>
    <t>TV-CHORD ASSY RH and close clamps</t>
  </si>
  <si>
    <t xml:space="preserve">RH BULKHEAD ASSY </t>
  </si>
  <si>
    <t>Random.Triangular(1.4,1.7,1.8)</t>
  </si>
  <si>
    <t>Random.Triangular(16.2,18,19.8)</t>
  </si>
  <si>
    <t>Scan twice</t>
  </si>
  <si>
    <t>Position upper subassembly</t>
  </si>
  <si>
    <t>Random.Triangular(12,13.5,13.9)</t>
  </si>
  <si>
    <t>Random.Triangular(9,11.2,13.6)</t>
  </si>
  <si>
    <t>Rotate table</t>
  </si>
  <si>
    <t xml:space="preserve">Scan </t>
  </si>
  <si>
    <t>Random.Triangular(8.4,10.1,12.6)</t>
  </si>
  <si>
    <t>Drill Pilot hole</t>
  </si>
  <si>
    <t>Random.Triangular(0.9,1,1.1)</t>
  </si>
  <si>
    <t>Random.Triangular(1,2.2,4.1)</t>
  </si>
  <si>
    <t xml:space="preserve">Locate Fire Shield splice </t>
  </si>
  <si>
    <t>Random.Triangular(12,15,17)</t>
  </si>
  <si>
    <t>Random.Triangular(13.2,15,17.5)</t>
  </si>
  <si>
    <t xml:space="preserve">Install Tack Fastener </t>
  </si>
  <si>
    <t>Scan</t>
  </si>
  <si>
    <t>Random.Triangular(16,18,19.5)</t>
  </si>
  <si>
    <t>LH Chords</t>
  </si>
  <si>
    <t>Random.Triangular(1.4,1.9,2.3)</t>
  </si>
  <si>
    <t xml:space="preserve">Measure gap </t>
  </si>
  <si>
    <t>Random.Triangular(7,11,12.5)</t>
  </si>
  <si>
    <t>LWR BULKHEAD ASSY</t>
  </si>
  <si>
    <t>Drill LH and RH holes</t>
  </si>
  <si>
    <t>Install Tack Fastener</t>
  </si>
  <si>
    <t>Random.Triangular(1.33,2.25,2.98)</t>
  </si>
  <si>
    <t>Stack light turns Green</t>
  </si>
  <si>
    <t>Random.Triangular(4.2,5.4,6.23)</t>
  </si>
  <si>
    <t>Random.Triangular(2.1,2.45,2.58)</t>
  </si>
  <si>
    <t>Splice the LWR/RH Chords</t>
  </si>
  <si>
    <t>Random.Triangular(1.2,1.34,1.6)</t>
  </si>
  <si>
    <t>Tools dump Zone 2 Clamps</t>
  </si>
  <si>
    <t>Random.Triangular(1.2,3.3,4.1)</t>
  </si>
  <si>
    <t>Robot Syncing</t>
  </si>
  <si>
    <t>Random.Triangular(12,13.4,14.2)</t>
  </si>
  <si>
    <t>Random.Triangular(15,16.4,17)</t>
  </si>
  <si>
    <t>Drill 8 holes</t>
  </si>
  <si>
    <t>Tool dump Zone 4 Clamps</t>
  </si>
  <si>
    <t>Random.Triangular(2.44,2.65,3.6)</t>
  </si>
  <si>
    <t>Random.Triangular(4,6.3,7.1)</t>
  </si>
  <si>
    <t>Random.Triangular(3.3,5.4,6.1)</t>
  </si>
  <si>
    <t>Random.Triangular(10,12,15)</t>
  </si>
  <si>
    <t>Tool dump Zone 6 Clamps</t>
  </si>
  <si>
    <t>Random.Triangular(2,4.3,5.2)</t>
  </si>
  <si>
    <t>Drill 10 holes</t>
  </si>
  <si>
    <t>Tool dump Zone 8 Clamps</t>
  </si>
  <si>
    <t>Random.Triangular(16.25,18,19.5)</t>
  </si>
  <si>
    <t>Random.Triangular(1.44,2.3,3.1)</t>
  </si>
  <si>
    <t>Random.Triangular(3,4,5)</t>
  </si>
  <si>
    <t>Random.Triangular(3.5,4.5,5.5)</t>
  </si>
  <si>
    <t>Tool dump Zone 10 Clamps</t>
  </si>
  <si>
    <t xml:space="preserve">Operator Unloads </t>
  </si>
  <si>
    <t>Random.Triangular(1.88,2.62,2.82)</t>
  </si>
  <si>
    <t>Get inner assembly</t>
  </si>
  <si>
    <t>Random.Triangular(5.2,6.54,7.12)</t>
  </si>
  <si>
    <t>Close Inner Barrel Clamps</t>
  </si>
  <si>
    <t>Open Lift assist clamps</t>
  </si>
  <si>
    <t xml:space="preserve">Locate Aft Bulkhead Assy </t>
  </si>
  <si>
    <t xml:space="preserve">Close Manual clamps </t>
  </si>
  <si>
    <t>Locate &amp; close clip</t>
  </si>
  <si>
    <t>Random.Triangular(18,20,22)</t>
  </si>
  <si>
    <t>Random.Triangular(13.2,15.3,16)</t>
  </si>
  <si>
    <t>Drill Bulkhead to Inner Angle</t>
  </si>
  <si>
    <t>Random.Triangular(1.6,1.8,1.9)</t>
  </si>
  <si>
    <t>Open DJ clps</t>
  </si>
  <si>
    <t xml:space="preserve">Remove DJ </t>
  </si>
  <si>
    <t>Open manual clamps</t>
  </si>
  <si>
    <t>Remove BLKD assys</t>
  </si>
  <si>
    <t xml:space="preserve">Opens inner barrel </t>
  </si>
  <si>
    <t>Deburr AFT BLKD</t>
  </si>
  <si>
    <t>Inspection of Holes</t>
  </si>
  <si>
    <t xml:space="preserve">Attach MHE </t>
  </si>
  <si>
    <t>Press button</t>
  </si>
  <si>
    <t>Close clamps</t>
  </si>
  <si>
    <t>Unload inner barrel</t>
  </si>
  <si>
    <t xml:space="preserve">Move inner barrel </t>
  </si>
  <si>
    <t>Robot moves to position 1</t>
  </si>
  <si>
    <t xml:space="preserve">Turntable rotates </t>
  </si>
  <si>
    <t>Robot moves to its target position</t>
  </si>
  <si>
    <t>Perform local drill</t>
  </si>
  <si>
    <t>Random.Triangular(2.25,2.5,2.75)</t>
  </si>
  <si>
    <t>Secure final fastener</t>
  </si>
  <si>
    <t>Attach clips wing set RH</t>
  </si>
  <si>
    <t>Attach clips wing set LH</t>
  </si>
  <si>
    <t>Guide Splice Operation</t>
  </si>
  <si>
    <t xml:space="preserve">Drill holes to Guide Fittings </t>
  </si>
  <si>
    <t>Drill  holes into the Guide fittings</t>
  </si>
  <si>
    <t xml:space="preserve">Countersink hole locations in Guide Fittings </t>
  </si>
  <si>
    <t xml:space="preserve">Tv-Guide Fittings </t>
  </si>
  <si>
    <t>Straps into Guide Fittings</t>
  </si>
  <si>
    <t>Tiempo Esperado SA101</t>
  </si>
  <si>
    <t>Tiempo Esperado SA102</t>
  </si>
  <si>
    <t>Workcell1</t>
  </si>
  <si>
    <t>Workcell2</t>
  </si>
  <si>
    <t>Workcell3</t>
  </si>
  <si>
    <t>Workcell4</t>
  </si>
  <si>
    <t>Workcell5</t>
  </si>
  <si>
    <t>Carga Esperada SA101</t>
  </si>
  <si>
    <t>Carga Esperada SA102</t>
  </si>
  <si>
    <t>Total</t>
  </si>
  <si>
    <t>TOTAL</t>
  </si>
  <si>
    <t>Calculo 1</t>
  </si>
  <si>
    <t>Calculo 2</t>
  </si>
  <si>
    <t xml:space="preserve">Cálculo de la carga esperada de trabajo correspondiente a cada una de 
las cinco celdas de producción. </t>
  </si>
  <si>
    <t>Estimación de las horas-hombre esperadas requeridas para fabricar un avión SA101, un avión SA102.</t>
  </si>
  <si>
    <t>Horas-Hombre Esperado SA101</t>
  </si>
  <si>
    <t>Horas-Hombre Esperado SA102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</si>
</sst>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"/>
    <numFmt numFmtId="169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0" borderId="5" xfId="0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0" fillId="0" borderId="11" xfId="0" applyBorder="1" applyAlignment="1">
      <alignment horizontal="right" vertical="center"/>
    </xf>
    <xf numFmtId="0" fontId="1" fillId="2" borderId="9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67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69" fontId="0" fillId="0" borderId="9" xfId="0" applyNumberFormat="1" applyBorder="1" applyAlignment="1">
      <alignment horizontal="center"/>
    </xf>
    <xf numFmtId="0" fontId="0" fillId="0" borderId="9" xfId="0" applyFont="1" applyBorder="1" applyAlignment="1">
      <alignment horizontal="center"/>
    </xf>
    <xf numFmtId="167" fontId="3" fillId="0" borderId="9" xfId="0" applyNumberFormat="1" applyFont="1" applyBorder="1" applyAlignment="1">
      <alignment horizontal="center"/>
    </xf>
    <xf numFmtId="167" fontId="3" fillId="0" borderId="0" xfId="0" applyNumberFormat="1" applyFont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vertical="center"/>
    </xf>
    <xf numFmtId="0" fontId="0" fillId="0" borderId="0" xfId="0" applyFill="1" applyBorder="1" applyAlignment="1">
      <alignment horizontal="center"/>
    </xf>
    <xf numFmtId="0" fontId="4" fillId="4" borderId="0" xfId="0" applyFont="1" applyFill="1"/>
    <xf numFmtId="0" fontId="0" fillId="0" borderId="0" xfId="0" applyAlignment="1">
      <alignment horizontal="left" wrapText="1"/>
    </xf>
    <xf numFmtId="167" fontId="0" fillId="3" borderId="9" xfId="0" applyNumberFormat="1" applyFill="1" applyBorder="1" applyAlignment="1">
      <alignment horizontal="center"/>
    </xf>
    <xf numFmtId="167" fontId="3" fillId="0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zoomScale="117" zoomScaleNormal="232" workbookViewId="0">
      <selection activeCell="H25" sqref="H25"/>
    </sheetView>
  </sheetViews>
  <sheetFormatPr baseColWidth="10" defaultColWidth="9.140625" defaultRowHeight="15" x14ac:dyDescent="0.25"/>
  <cols>
    <col min="2" max="2" width="39.28515625" bestFit="1" customWidth="1"/>
    <col min="3" max="4" width="31.7109375" bestFit="1" customWidth="1"/>
    <col min="5" max="5" width="10.42578125" bestFit="1" customWidth="1"/>
    <col min="6" max="6" width="19" customWidth="1"/>
    <col min="7" max="7" width="16.85546875" customWidth="1"/>
    <col min="8" max="8" width="16.28515625" customWidth="1"/>
    <col min="9" max="9" width="18.85546875" customWidth="1"/>
  </cols>
  <sheetData>
    <row r="1" spans="1:9" x14ac:dyDescent="0.25">
      <c r="A1" s="12" t="s">
        <v>0</v>
      </c>
      <c r="B1" s="12" t="s">
        <v>1</v>
      </c>
      <c r="C1" s="2" t="s">
        <v>2</v>
      </c>
      <c r="D1" s="2" t="s">
        <v>2</v>
      </c>
      <c r="E1" s="14" t="s">
        <v>5</v>
      </c>
      <c r="F1" s="17" t="s">
        <v>137</v>
      </c>
      <c r="G1" s="17" t="s">
        <v>138</v>
      </c>
      <c r="H1" s="17" t="s">
        <v>152</v>
      </c>
      <c r="I1" s="17" t="s">
        <v>153</v>
      </c>
    </row>
    <row r="2" spans="1:9" ht="15.75" thickBot="1" x14ac:dyDescent="0.3">
      <c r="A2" s="13"/>
      <c r="B2" s="13"/>
      <c r="C2" s="3" t="s">
        <v>3</v>
      </c>
      <c r="D2" s="3" t="s">
        <v>4</v>
      </c>
      <c r="E2" s="15" t="s">
        <v>6</v>
      </c>
      <c r="F2" s="17"/>
      <c r="G2" s="17"/>
      <c r="H2" s="17"/>
      <c r="I2" s="17"/>
    </row>
    <row r="3" spans="1:9" ht="15.75" thickBot="1" x14ac:dyDescent="0.3">
      <c r="A3" s="4">
        <v>1</v>
      </c>
      <c r="B3" s="6" t="s">
        <v>7</v>
      </c>
      <c r="C3" s="5" t="s">
        <v>8</v>
      </c>
      <c r="D3" s="5" t="s">
        <v>8</v>
      </c>
      <c r="E3" s="16">
        <v>2</v>
      </c>
      <c r="F3" s="19">
        <f>(1.98+2.2+2.42)/3</f>
        <v>2.1999999999999997</v>
      </c>
      <c r="G3" s="19">
        <f>(1.98+2.2+2.42)/3</f>
        <v>2.1999999999999997</v>
      </c>
      <c r="H3" s="19">
        <f>F3*E3</f>
        <v>4.3999999999999995</v>
      </c>
      <c r="I3" s="19">
        <f>G3*E3</f>
        <v>4.3999999999999995</v>
      </c>
    </row>
    <row r="4" spans="1:9" ht="15.75" thickBot="1" x14ac:dyDescent="0.3">
      <c r="A4" s="4">
        <v>1</v>
      </c>
      <c r="B4" s="6" t="s">
        <v>9</v>
      </c>
      <c r="C4" s="5" t="s">
        <v>8</v>
      </c>
      <c r="D4" s="5" t="s">
        <v>8</v>
      </c>
      <c r="E4" s="16">
        <v>3</v>
      </c>
      <c r="F4" s="19">
        <f>(1.98+2.2+2.42)/3</f>
        <v>2.1999999999999997</v>
      </c>
      <c r="G4" s="19">
        <f>(1.98+2.2+2.42)/3</f>
        <v>2.1999999999999997</v>
      </c>
      <c r="H4" s="19">
        <f>F4*E4</f>
        <v>6.6</v>
      </c>
      <c r="I4" s="19">
        <f>G4*E4</f>
        <v>6.6</v>
      </c>
    </row>
    <row r="5" spans="1:9" ht="15.75" thickBot="1" x14ac:dyDescent="0.3">
      <c r="A5" s="4">
        <v>1</v>
      </c>
      <c r="B5" s="6" t="s">
        <v>10</v>
      </c>
      <c r="C5" s="5" t="s">
        <v>11</v>
      </c>
      <c r="D5" s="5" t="s">
        <v>11</v>
      </c>
      <c r="E5" s="16">
        <v>2</v>
      </c>
      <c r="F5" s="19">
        <f>(2.07+2.3+2.53)/3</f>
        <v>2.2999999999999994</v>
      </c>
      <c r="G5" s="19">
        <f>(2.07+2.3+2.53)/3</f>
        <v>2.2999999999999994</v>
      </c>
      <c r="H5" s="19">
        <f>F5*E5</f>
        <v>4.5999999999999988</v>
      </c>
      <c r="I5" s="19">
        <f>G5*E5</f>
        <v>4.5999999999999988</v>
      </c>
    </row>
    <row r="6" spans="1:9" ht="15.75" thickBot="1" x14ac:dyDescent="0.3">
      <c r="A6" s="4">
        <v>2</v>
      </c>
      <c r="B6" s="6" t="s">
        <v>135</v>
      </c>
      <c r="C6" s="5" t="s">
        <v>12</v>
      </c>
      <c r="D6" s="5" t="s">
        <v>12</v>
      </c>
      <c r="E6" s="16">
        <v>3</v>
      </c>
      <c r="F6" s="19">
        <f>(10.3+12.1+13.4)/3</f>
        <v>11.933333333333332</v>
      </c>
      <c r="G6" s="19">
        <f>(10.3+12.1+13.4)/3</f>
        <v>11.933333333333332</v>
      </c>
      <c r="H6" s="19">
        <f>F6*E6</f>
        <v>35.799999999999997</v>
      </c>
      <c r="I6" s="19">
        <f t="shared" ref="I4:I21" si="0">G6*E6</f>
        <v>35.799999999999997</v>
      </c>
    </row>
    <row r="7" spans="1:9" ht="15.75" thickBot="1" x14ac:dyDescent="0.3">
      <c r="A7" s="4">
        <v>2</v>
      </c>
      <c r="B7" s="6" t="s">
        <v>13</v>
      </c>
      <c r="C7" s="5" t="s">
        <v>14</v>
      </c>
      <c r="D7" s="5" t="s">
        <v>14</v>
      </c>
      <c r="E7" s="16">
        <v>2</v>
      </c>
      <c r="F7" s="19">
        <f>(1.53+1.7+1.87)/3</f>
        <v>1.7</v>
      </c>
      <c r="G7" s="19">
        <f>(1.53+1.7+1.87)/3</f>
        <v>1.7</v>
      </c>
      <c r="H7" s="19">
        <f>F7*E7</f>
        <v>3.4</v>
      </c>
      <c r="I7" s="19">
        <f t="shared" si="0"/>
        <v>3.4</v>
      </c>
    </row>
    <row r="8" spans="1:9" ht="15.75" thickBot="1" x14ac:dyDescent="0.3">
      <c r="A8" s="4">
        <v>3</v>
      </c>
      <c r="B8" s="6" t="s">
        <v>131</v>
      </c>
      <c r="C8" s="5" t="s">
        <v>15</v>
      </c>
      <c r="D8" s="5" t="s">
        <v>16</v>
      </c>
      <c r="E8" s="16">
        <v>2</v>
      </c>
      <c r="F8" s="19">
        <f>(1.62+1.8+1.98)/3</f>
        <v>1.8</v>
      </c>
      <c r="G8" s="19">
        <f>(1+1.2+1.45)/3</f>
        <v>1.2166666666666668</v>
      </c>
      <c r="H8" s="19">
        <f>F8*E8</f>
        <v>3.6</v>
      </c>
      <c r="I8" s="19">
        <f>G8*E8</f>
        <v>2.4333333333333336</v>
      </c>
    </row>
    <row r="9" spans="1:9" ht="15.75" thickBot="1" x14ac:dyDescent="0.3">
      <c r="A9" s="4">
        <v>4</v>
      </c>
      <c r="B9" s="6" t="s">
        <v>17</v>
      </c>
      <c r="C9" s="5" t="s">
        <v>18</v>
      </c>
      <c r="D9" s="5" t="s">
        <v>18</v>
      </c>
      <c r="E9" s="16">
        <v>3</v>
      </c>
      <c r="F9" s="19">
        <f>(1.8+2+2.2)/3</f>
        <v>2</v>
      </c>
      <c r="G9" s="19">
        <f>(1.8+2+2.2)/3</f>
        <v>2</v>
      </c>
      <c r="H9" s="19">
        <f t="shared" ref="H4:H21" si="1">F9*E9</f>
        <v>6</v>
      </c>
      <c r="I9" s="19">
        <f t="shared" si="0"/>
        <v>6</v>
      </c>
    </row>
    <row r="10" spans="1:9" ht="15.75" thickBot="1" x14ac:dyDescent="0.3">
      <c r="A10" s="4">
        <v>4</v>
      </c>
      <c r="B10" s="6" t="s">
        <v>19</v>
      </c>
      <c r="C10" s="5" t="s">
        <v>20</v>
      </c>
      <c r="D10" s="5" t="s">
        <v>21</v>
      </c>
      <c r="E10" s="16">
        <v>2</v>
      </c>
      <c r="F10" s="19">
        <f>(16+18+19)/3</f>
        <v>17.666666666666668</v>
      </c>
      <c r="G10" s="19">
        <f>(14+16+18)/3</f>
        <v>16</v>
      </c>
      <c r="H10" s="19">
        <f t="shared" si="1"/>
        <v>35.333333333333336</v>
      </c>
      <c r="I10" s="19">
        <f t="shared" si="0"/>
        <v>32</v>
      </c>
    </row>
    <row r="11" spans="1:9" ht="15.75" thickBot="1" x14ac:dyDescent="0.3">
      <c r="A11" s="4">
        <v>4</v>
      </c>
      <c r="B11" s="6" t="s">
        <v>22</v>
      </c>
      <c r="C11" s="5" t="s">
        <v>23</v>
      </c>
      <c r="D11" s="5" t="s">
        <v>23</v>
      </c>
      <c r="E11" s="16">
        <v>2</v>
      </c>
      <c r="F11" s="19">
        <f>(1.89+2.1+2.31)/3</f>
        <v>2.1</v>
      </c>
      <c r="G11" s="19">
        <f>(1.89+2.1+2.31)/3</f>
        <v>2.1</v>
      </c>
      <c r="H11" s="19">
        <f t="shared" si="1"/>
        <v>4.2</v>
      </c>
      <c r="I11" s="19">
        <f t="shared" si="0"/>
        <v>4.2</v>
      </c>
    </row>
    <row r="12" spans="1:9" ht="15.75" thickBot="1" x14ac:dyDescent="0.3">
      <c r="A12" s="4">
        <v>5</v>
      </c>
      <c r="B12" s="6" t="s">
        <v>132</v>
      </c>
      <c r="C12" s="5" t="s">
        <v>24</v>
      </c>
      <c r="D12" s="5" t="s">
        <v>24</v>
      </c>
      <c r="E12" s="16">
        <v>2</v>
      </c>
      <c r="F12" s="19">
        <f>(2.34+2.6+2.86)/3</f>
        <v>2.5999999999999996</v>
      </c>
      <c r="G12" s="19">
        <f>(2.34+2.6+2.86)/3</f>
        <v>2.5999999999999996</v>
      </c>
      <c r="H12" s="19">
        <f t="shared" si="1"/>
        <v>5.1999999999999993</v>
      </c>
      <c r="I12" s="19">
        <f t="shared" si="0"/>
        <v>5.1999999999999993</v>
      </c>
    </row>
    <row r="13" spans="1:9" ht="15.75" thickBot="1" x14ac:dyDescent="0.3">
      <c r="A13" s="4">
        <v>6</v>
      </c>
      <c r="B13" s="6" t="s">
        <v>25</v>
      </c>
      <c r="C13" s="5" t="s">
        <v>26</v>
      </c>
      <c r="D13" s="5" t="s">
        <v>27</v>
      </c>
      <c r="E13" s="16">
        <v>4</v>
      </c>
      <c r="F13" s="19">
        <f>(9+10+11)/3</f>
        <v>10</v>
      </c>
      <c r="G13" s="19">
        <f>(9+11+12)/3</f>
        <v>10.666666666666666</v>
      </c>
      <c r="H13" s="19">
        <f t="shared" si="1"/>
        <v>40</v>
      </c>
      <c r="I13" s="19">
        <f>G13*E13</f>
        <v>42.666666666666664</v>
      </c>
    </row>
    <row r="14" spans="1:9" ht="15.75" thickBot="1" x14ac:dyDescent="0.3">
      <c r="A14" s="4">
        <v>6</v>
      </c>
      <c r="B14" s="6" t="s">
        <v>28</v>
      </c>
      <c r="C14" s="5" t="s">
        <v>29</v>
      </c>
      <c r="D14" s="5" t="s">
        <v>29</v>
      </c>
      <c r="E14" s="16">
        <v>2</v>
      </c>
      <c r="F14" s="19">
        <f>(1.71+1.9+2.09)/3</f>
        <v>1.8999999999999997</v>
      </c>
      <c r="G14" s="19">
        <f>(1.71+1.9+2.09)/3</f>
        <v>1.8999999999999997</v>
      </c>
      <c r="H14" s="19">
        <f t="shared" si="1"/>
        <v>3.7999999999999994</v>
      </c>
      <c r="I14" s="19">
        <f t="shared" si="0"/>
        <v>3.7999999999999994</v>
      </c>
    </row>
    <row r="15" spans="1:9" ht="15.75" thickBot="1" x14ac:dyDescent="0.3">
      <c r="A15" s="4">
        <v>7</v>
      </c>
      <c r="B15" s="6" t="s">
        <v>133</v>
      </c>
      <c r="C15" s="5" t="s">
        <v>30</v>
      </c>
      <c r="D15" s="5" t="s">
        <v>30</v>
      </c>
      <c r="E15" s="16">
        <v>5</v>
      </c>
      <c r="F15" s="19">
        <f>(1.35+1.5+1.65)/3</f>
        <v>1.5</v>
      </c>
      <c r="G15" s="19">
        <f>(1.35+1.5+1.65)/3</f>
        <v>1.5</v>
      </c>
      <c r="H15" s="19">
        <f t="shared" si="1"/>
        <v>7.5</v>
      </c>
      <c r="I15" s="19">
        <f t="shared" si="0"/>
        <v>7.5</v>
      </c>
    </row>
    <row r="16" spans="1:9" ht="15.75" thickBot="1" x14ac:dyDescent="0.3">
      <c r="A16" s="4">
        <v>7</v>
      </c>
      <c r="B16" s="6" t="s">
        <v>136</v>
      </c>
      <c r="C16" s="5" t="s">
        <v>31</v>
      </c>
      <c r="D16" s="5" t="s">
        <v>31</v>
      </c>
      <c r="E16" s="16">
        <v>2</v>
      </c>
      <c r="F16" s="19">
        <f>(5+6.5+7.2)/3</f>
        <v>6.2333333333333334</v>
      </c>
      <c r="G16" s="19">
        <f>(5+6.5+7.2)/3</f>
        <v>6.2333333333333334</v>
      </c>
      <c r="H16" s="19">
        <f t="shared" si="1"/>
        <v>12.466666666666667</v>
      </c>
      <c r="I16" s="19">
        <f t="shared" si="0"/>
        <v>12.466666666666667</v>
      </c>
    </row>
    <row r="17" spans="1:9" ht="15.75" thickBot="1" x14ac:dyDescent="0.3">
      <c r="A17" s="4">
        <v>8</v>
      </c>
      <c r="B17" s="6" t="s">
        <v>32</v>
      </c>
      <c r="C17" s="5" t="s">
        <v>33</v>
      </c>
      <c r="D17" s="5" t="s">
        <v>33</v>
      </c>
      <c r="E17" s="16">
        <v>2</v>
      </c>
      <c r="F17" s="19">
        <f>(0.72+0.8+0.88)/3</f>
        <v>0.79999999999999993</v>
      </c>
      <c r="G17" s="19">
        <f>(0.72+0.8+0.88)/3</f>
        <v>0.79999999999999993</v>
      </c>
      <c r="H17" s="19">
        <f>F17*E17</f>
        <v>1.5999999999999999</v>
      </c>
      <c r="I17" s="19">
        <f t="shared" si="0"/>
        <v>1.5999999999999999</v>
      </c>
    </row>
    <row r="18" spans="1:9" ht="15.75" thickBot="1" x14ac:dyDescent="0.3">
      <c r="A18" s="4">
        <v>9</v>
      </c>
      <c r="B18" s="6" t="s">
        <v>34</v>
      </c>
      <c r="C18" s="5" t="s">
        <v>35</v>
      </c>
      <c r="D18" s="5" t="s">
        <v>36</v>
      </c>
      <c r="E18" s="16">
        <v>3</v>
      </c>
      <c r="F18" s="19">
        <f>(21+25.2+27)/3</f>
        <v>24.400000000000002</v>
      </c>
      <c r="G18" s="19">
        <f>(9+11.5+14)/3</f>
        <v>11.5</v>
      </c>
      <c r="H18" s="19">
        <f t="shared" si="1"/>
        <v>73.2</v>
      </c>
      <c r="I18" s="19">
        <f t="shared" si="0"/>
        <v>34.5</v>
      </c>
    </row>
    <row r="19" spans="1:9" ht="15.75" thickBot="1" x14ac:dyDescent="0.3">
      <c r="A19" s="4">
        <v>10</v>
      </c>
      <c r="B19" s="6" t="s">
        <v>134</v>
      </c>
      <c r="C19" s="5" t="s">
        <v>14</v>
      </c>
      <c r="D19" s="5" t="s">
        <v>14</v>
      </c>
      <c r="E19" s="16">
        <v>2</v>
      </c>
      <c r="F19" s="19">
        <f>(1.53+1.7+1.87)/3</f>
        <v>1.7</v>
      </c>
      <c r="G19" s="19">
        <f>(1.53+1.7+1.87)/3</f>
        <v>1.7</v>
      </c>
      <c r="H19" s="19">
        <f>F19*E19</f>
        <v>3.4</v>
      </c>
      <c r="I19" s="19">
        <f>G19*E19</f>
        <v>3.4</v>
      </c>
    </row>
    <row r="20" spans="1:9" ht="15.75" thickBot="1" x14ac:dyDescent="0.3">
      <c r="A20" s="4">
        <v>10</v>
      </c>
      <c r="B20" s="6" t="s">
        <v>37</v>
      </c>
      <c r="C20" s="5" t="s">
        <v>33</v>
      </c>
      <c r="D20" s="5" t="s">
        <v>33</v>
      </c>
      <c r="E20" s="16">
        <v>2</v>
      </c>
      <c r="F20" s="19">
        <f>(0.72+0.8+0.88)/3</f>
        <v>0.79999999999999993</v>
      </c>
      <c r="G20" s="19">
        <f>(0.72+0.8+0.88)/3</f>
        <v>0.79999999999999993</v>
      </c>
      <c r="H20" s="19">
        <f t="shared" si="1"/>
        <v>1.5999999999999999</v>
      </c>
      <c r="I20" s="19">
        <f t="shared" si="0"/>
        <v>1.5999999999999999</v>
      </c>
    </row>
    <row r="21" spans="1:9" ht="15.75" thickBot="1" x14ac:dyDescent="0.3">
      <c r="A21" s="4">
        <v>11</v>
      </c>
      <c r="B21" s="6" t="s">
        <v>38</v>
      </c>
      <c r="C21" s="5" t="s">
        <v>39</v>
      </c>
      <c r="D21" s="5" t="s">
        <v>39</v>
      </c>
      <c r="E21" s="16">
        <v>4</v>
      </c>
      <c r="F21" s="19">
        <f>(0.45+0.5+0.55)/3</f>
        <v>0.5</v>
      </c>
      <c r="G21" s="19">
        <f>(0.45+0.5+0.55)/3</f>
        <v>0.5</v>
      </c>
      <c r="H21" s="19">
        <f t="shared" si="1"/>
        <v>2</v>
      </c>
      <c r="I21" s="19">
        <f>G21*E21</f>
        <v>2</v>
      </c>
    </row>
    <row r="22" spans="1:9" x14ac:dyDescent="0.25">
      <c r="F22" s="23">
        <f>SUM(F3:F21)</f>
        <v>94.333333333333329</v>
      </c>
      <c r="G22" s="23">
        <f>SUM(G3:G21)</f>
        <v>79.849999999999994</v>
      </c>
      <c r="H22" s="23">
        <f>SUM(H3:H21)</f>
        <v>254.7</v>
      </c>
      <c r="I22" s="23">
        <f>SUM(I3:I21)</f>
        <v>214.16666666666666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"/>
  <sheetViews>
    <sheetView zoomScale="94" workbookViewId="0">
      <selection activeCell="H23" sqref="H23"/>
    </sheetView>
  </sheetViews>
  <sheetFormatPr baseColWidth="10" defaultColWidth="9.140625" defaultRowHeight="15" x14ac:dyDescent="0.25"/>
  <cols>
    <col min="2" max="2" width="34.42578125" bestFit="1" customWidth="1"/>
    <col min="3" max="4" width="30.7109375" bestFit="1" customWidth="1"/>
    <col min="5" max="5" width="10.42578125" bestFit="1" customWidth="1"/>
    <col min="6" max="6" width="20" customWidth="1"/>
    <col min="7" max="7" width="19.85546875" customWidth="1"/>
    <col min="8" max="8" width="17.28515625" customWidth="1"/>
    <col min="9" max="9" width="17.85546875" customWidth="1"/>
  </cols>
  <sheetData>
    <row r="1" spans="1:9" x14ac:dyDescent="0.25">
      <c r="A1" s="9" t="s">
        <v>0</v>
      </c>
      <c r="B1" s="1" t="s">
        <v>1</v>
      </c>
      <c r="C1" s="2" t="s">
        <v>2</v>
      </c>
      <c r="D1" s="2" t="s">
        <v>2</v>
      </c>
      <c r="E1" s="2" t="s">
        <v>5</v>
      </c>
      <c r="F1" s="17" t="s">
        <v>137</v>
      </c>
      <c r="G1" s="17" t="s">
        <v>138</v>
      </c>
      <c r="H1" s="17" t="s">
        <v>152</v>
      </c>
      <c r="I1" s="17" t="s">
        <v>153</v>
      </c>
    </row>
    <row r="2" spans="1:9" ht="15.75" thickBot="1" x14ac:dyDescent="0.3">
      <c r="A2" s="10"/>
      <c r="B2" s="8"/>
      <c r="C2" s="3" t="s">
        <v>3</v>
      </c>
      <c r="D2" s="3" t="s">
        <v>4</v>
      </c>
      <c r="E2" s="3" t="s">
        <v>6</v>
      </c>
      <c r="F2" s="17"/>
      <c r="G2" s="17"/>
      <c r="H2" s="17"/>
      <c r="I2" s="17"/>
    </row>
    <row r="3" spans="1:9" ht="15.75" thickBot="1" x14ac:dyDescent="0.3">
      <c r="A3" s="4">
        <v>1</v>
      </c>
      <c r="B3" s="11" t="s">
        <v>40</v>
      </c>
      <c r="C3" s="5" t="s">
        <v>8</v>
      </c>
      <c r="D3" s="5" t="s">
        <v>41</v>
      </c>
      <c r="E3" s="7">
        <v>2</v>
      </c>
      <c r="F3" s="18">
        <f>(1.98+2.2+2.42)/3</f>
        <v>2.1999999999999997</v>
      </c>
      <c r="G3" s="20">
        <f>(2.1+2.8+3.17)/3</f>
        <v>2.69</v>
      </c>
      <c r="H3" s="19">
        <f>F3*E3</f>
        <v>4.3999999999999995</v>
      </c>
      <c r="I3" s="19">
        <f>G3*E3</f>
        <v>5.38</v>
      </c>
    </row>
    <row r="4" spans="1:9" ht="15.75" thickBot="1" x14ac:dyDescent="0.3">
      <c r="A4" s="4">
        <v>1</v>
      </c>
      <c r="B4" s="11" t="s">
        <v>42</v>
      </c>
      <c r="C4" s="5" t="s">
        <v>31</v>
      </c>
      <c r="D4" s="5" t="s">
        <v>43</v>
      </c>
      <c r="E4" s="7">
        <v>3</v>
      </c>
      <c r="F4" s="18">
        <f>(5+6.5+7.2)/3</f>
        <v>6.2333333333333334</v>
      </c>
      <c r="G4" s="19">
        <f>(4.3+5.5+6.8)/3</f>
        <v>5.5333333333333341</v>
      </c>
      <c r="H4" s="19">
        <f t="shared" ref="H4:H22" si="0">F4*E4</f>
        <v>18.7</v>
      </c>
      <c r="I4" s="19">
        <f t="shared" ref="I4:I22" si="1">G4*E4</f>
        <v>16.600000000000001</v>
      </c>
    </row>
    <row r="5" spans="1:9" ht="15.75" thickBot="1" x14ac:dyDescent="0.3">
      <c r="A5" s="4">
        <v>2</v>
      </c>
      <c r="B5" s="11" t="s">
        <v>44</v>
      </c>
      <c r="C5" s="5" t="s">
        <v>11</v>
      </c>
      <c r="D5" s="5" t="s">
        <v>11</v>
      </c>
      <c r="E5" s="7">
        <v>2</v>
      </c>
      <c r="F5" s="18">
        <f>(2.07+2.3+2.53)/3</f>
        <v>2.2999999999999994</v>
      </c>
      <c r="G5" s="21">
        <f>(2.07+2.3+2.53)/3</f>
        <v>2.2999999999999994</v>
      </c>
      <c r="H5" s="19">
        <f t="shared" si="0"/>
        <v>4.5999999999999988</v>
      </c>
      <c r="I5" s="19">
        <f t="shared" si="1"/>
        <v>4.5999999999999988</v>
      </c>
    </row>
    <row r="6" spans="1:9" ht="15.75" thickBot="1" x14ac:dyDescent="0.3">
      <c r="A6" s="4">
        <v>2</v>
      </c>
      <c r="B6" s="11" t="s">
        <v>45</v>
      </c>
      <c r="C6" s="5" t="s">
        <v>11</v>
      </c>
      <c r="D6" s="5" t="s">
        <v>11</v>
      </c>
      <c r="E6" s="7">
        <v>2</v>
      </c>
      <c r="F6" s="21">
        <f>(2.07+2.3+2.53)/3</f>
        <v>2.2999999999999994</v>
      </c>
      <c r="G6" s="21">
        <f>(2.07+2.3+2.53)/3</f>
        <v>2.2999999999999994</v>
      </c>
      <c r="H6" s="19">
        <f t="shared" si="0"/>
        <v>4.5999999999999988</v>
      </c>
      <c r="I6" s="19">
        <f t="shared" si="1"/>
        <v>4.5999999999999988</v>
      </c>
    </row>
    <row r="7" spans="1:9" ht="15.75" thickBot="1" x14ac:dyDescent="0.3">
      <c r="A7" s="4">
        <v>2</v>
      </c>
      <c r="B7" s="11" t="s">
        <v>46</v>
      </c>
      <c r="C7" s="5" t="s">
        <v>14</v>
      </c>
      <c r="D7" s="5" t="s">
        <v>47</v>
      </c>
      <c r="E7" s="7">
        <v>3</v>
      </c>
      <c r="F7" s="18">
        <f>(1.53+1.7+1.87)/3</f>
        <v>1.7</v>
      </c>
      <c r="G7" s="19">
        <f>(1.4+1.7+1.8)/3</f>
        <v>1.6333333333333331</v>
      </c>
      <c r="H7" s="19">
        <f t="shared" si="0"/>
        <v>5.0999999999999996</v>
      </c>
      <c r="I7" s="19">
        <f t="shared" si="1"/>
        <v>4.8999999999999995</v>
      </c>
    </row>
    <row r="8" spans="1:9" ht="15.75" thickBot="1" x14ac:dyDescent="0.3">
      <c r="A8" s="4">
        <v>3</v>
      </c>
      <c r="B8" s="11" t="s">
        <v>42</v>
      </c>
      <c r="C8" s="5" t="s">
        <v>48</v>
      </c>
      <c r="D8" s="5" t="s">
        <v>48</v>
      </c>
      <c r="E8" s="7">
        <v>2</v>
      </c>
      <c r="F8" s="18">
        <f>(16.2+18+19.8)/3</f>
        <v>18</v>
      </c>
      <c r="G8" s="18">
        <f>(16.2+18+19.8)/3</f>
        <v>18</v>
      </c>
      <c r="H8" s="19">
        <f t="shared" si="0"/>
        <v>36</v>
      </c>
      <c r="I8" s="19">
        <f t="shared" si="1"/>
        <v>36</v>
      </c>
    </row>
    <row r="9" spans="1:9" ht="15.75" thickBot="1" x14ac:dyDescent="0.3">
      <c r="A9" s="4">
        <v>3</v>
      </c>
      <c r="B9" s="11" t="s">
        <v>49</v>
      </c>
      <c r="C9" s="5" t="s">
        <v>18</v>
      </c>
      <c r="D9" s="5" t="s">
        <v>18</v>
      </c>
      <c r="E9" s="7">
        <v>3</v>
      </c>
      <c r="F9" s="18">
        <f>(1.8+2+2.2)/3</f>
        <v>2</v>
      </c>
      <c r="G9" s="18">
        <f>(1.8+2+2.2)/3</f>
        <v>2</v>
      </c>
      <c r="H9" s="19">
        <f t="shared" si="0"/>
        <v>6</v>
      </c>
      <c r="I9" s="19">
        <f t="shared" si="1"/>
        <v>6</v>
      </c>
    </row>
    <row r="10" spans="1:9" ht="15.75" thickBot="1" x14ac:dyDescent="0.3">
      <c r="A10" s="4">
        <v>4</v>
      </c>
      <c r="B10" s="11" t="s">
        <v>50</v>
      </c>
      <c r="C10" s="5" t="s">
        <v>51</v>
      </c>
      <c r="D10" s="5" t="s">
        <v>52</v>
      </c>
      <c r="E10" s="7">
        <v>2</v>
      </c>
      <c r="F10" s="19">
        <f>(12+13.5+13.9)/3</f>
        <v>13.133333333333333</v>
      </c>
      <c r="G10" s="19">
        <f>(9+11.2+13.6)/3</f>
        <v>11.266666666666666</v>
      </c>
      <c r="H10" s="19">
        <f t="shared" si="0"/>
        <v>26.266666666666666</v>
      </c>
      <c r="I10" s="19">
        <f t="shared" si="1"/>
        <v>22.533333333333331</v>
      </c>
    </row>
    <row r="11" spans="1:9" ht="15.75" thickBot="1" x14ac:dyDescent="0.3">
      <c r="A11" s="4">
        <v>4</v>
      </c>
      <c r="B11" s="11" t="s">
        <v>53</v>
      </c>
      <c r="C11" s="5" t="s">
        <v>23</v>
      </c>
      <c r="D11" s="5" t="s">
        <v>23</v>
      </c>
      <c r="E11" s="7">
        <v>2</v>
      </c>
      <c r="F11" s="18">
        <f>(1.89+2.1+2.31)/3</f>
        <v>2.1</v>
      </c>
      <c r="G11" s="18">
        <f>(1.89+2.1+2.31)/3</f>
        <v>2.1</v>
      </c>
      <c r="H11" s="19">
        <f t="shared" si="0"/>
        <v>4.2</v>
      </c>
      <c r="I11" s="19">
        <f t="shared" si="1"/>
        <v>4.2</v>
      </c>
    </row>
    <row r="12" spans="1:9" ht="15.75" thickBot="1" x14ac:dyDescent="0.3">
      <c r="A12" s="4">
        <v>5</v>
      </c>
      <c r="B12" s="11" t="s">
        <v>54</v>
      </c>
      <c r="C12" s="5" t="s">
        <v>55</v>
      </c>
      <c r="D12" s="5" t="s">
        <v>55</v>
      </c>
      <c r="E12" s="7">
        <v>3</v>
      </c>
      <c r="F12" s="19">
        <f>(8.4+10.1+12.6)/3</f>
        <v>10.366666666666667</v>
      </c>
      <c r="G12" s="19">
        <f>(8.4+10.1+12.6)/3</f>
        <v>10.366666666666667</v>
      </c>
      <c r="H12" s="19">
        <f t="shared" si="0"/>
        <v>31.1</v>
      </c>
      <c r="I12" s="19">
        <f t="shared" si="1"/>
        <v>31.1</v>
      </c>
    </row>
    <row r="13" spans="1:9" ht="15.75" thickBot="1" x14ac:dyDescent="0.3">
      <c r="A13" s="4">
        <v>5</v>
      </c>
      <c r="B13" s="11" t="s">
        <v>56</v>
      </c>
      <c r="C13" s="5" t="s">
        <v>57</v>
      </c>
      <c r="D13" s="5" t="s">
        <v>58</v>
      </c>
      <c r="E13" s="7">
        <v>2</v>
      </c>
      <c r="F13" s="18">
        <f>(0.9+1+1.1)/3</f>
        <v>1</v>
      </c>
      <c r="G13" s="19">
        <f>(1+2.2+4.1)/3</f>
        <v>2.4333333333333331</v>
      </c>
      <c r="H13" s="19">
        <f t="shared" si="0"/>
        <v>2</v>
      </c>
      <c r="I13" s="19">
        <f t="shared" si="1"/>
        <v>4.8666666666666663</v>
      </c>
    </row>
    <row r="14" spans="1:9" ht="15.75" thickBot="1" x14ac:dyDescent="0.3">
      <c r="A14" s="4">
        <v>6</v>
      </c>
      <c r="B14" s="11" t="s">
        <v>59</v>
      </c>
      <c r="C14" s="5" t="s">
        <v>60</v>
      </c>
      <c r="D14" s="5" t="s">
        <v>61</v>
      </c>
      <c r="E14" s="7">
        <v>3</v>
      </c>
      <c r="F14" s="19">
        <f>(12+15+17)/3</f>
        <v>14.666666666666666</v>
      </c>
      <c r="G14" s="19">
        <f>(13.2+15+17.5)/3</f>
        <v>15.233333333333334</v>
      </c>
      <c r="H14" s="19">
        <f t="shared" si="0"/>
        <v>44</v>
      </c>
      <c r="I14" s="19">
        <f t="shared" si="1"/>
        <v>45.7</v>
      </c>
    </row>
    <row r="15" spans="1:9" ht="15.75" thickBot="1" x14ac:dyDescent="0.3">
      <c r="A15" s="4">
        <v>6</v>
      </c>
      <c r="B15" s="11" t="s">
        <v>62</v>
      </c>
      <c r="C15" s="5" t="s">
        <v>30</v>
      </c>
      <c r="D15" s="5" t="s">
        <v>30</v>
      </c>
      <c r="E15" s="7">
        <v>2</v>
      </c>
      <c r="F15" s="18">
        <f>(1.35+1.5+1.65)/3</f>
        <v>1.5</v>
      </c>
      <c r="G15" s="21">
        <f>(1.35+1.5+1.65)/3</f>
        <v>1.5</v>
      </c>
      <c r="H15" s="19">
        <f t="shared" si="0"/>
        <v>3</v>
      </c>
      <c r="I15" s="19">
        <f t="shared" si="1"/>
        <v>3</v>
      </c>
    </row>
    <row r="16" spans="1:9" ht="15.75" thickBot="1" x14ac:dyDescent="0.3">
      <c r="A16" s="4">
        <v>7</v>
      </c>
      <c r="B16" s="11" t="s">
        <v>53</v>
      </c>
      <c r="C16" s="5" t="s">
        <v>31</v>
      </c>
      <c r="D16" s="5" t="s">
        <v>31</v>
      </c>
      <c r="E16" s="7">
        <v>4</v>
      </c>
      <c r="F16" s="19">
        <f>(5+6.5+7.2)/3</f>
        <v>6.2333333333333334</v>
      </c>
      <c r="G16" s="19">
        <f>(5+6.5+7.2)/3</f>
        <v>6.2333333333333334</v>
      </c>
      <c r="H16" s="19">
        <f t="shared" si="0"/>
        <v>24.933333333333334</v>
      </c>
      <c r="I16" s="19">
        <f t="shared" si="1"/>
        <v>24.933333333333334</v>
      </c>
    </row>
    <row r="17" spans="1:9" ht="15.75" thickBot="1" x14ac:dyDescent="0.3">
      <c r="A17" s="4">
        <v>8</v>
      </c>
      <c r="B17" s="11" t="s">
        <v>63</v>
      </c>
      <c r="C17" s="5" t="s">
        <v>33</v>
      </c>
      <c r="D17" s="5" t="s">
        <v>33</v>
      </c>
      <c r="E17" s="7">
        <v>2</v>
      </c>
      <c r="F17" s="18">
        <f>(0.72+0.8+0.88)/3</f>
        <v>0.79999999999999993</v>
      </c>
      <c r="G17" s="18">
        <f>(0.72+0.8+0.88)/3</f>
        <v>0.79999999999999993</v>
      </c>
      <c r="H17" s="19">
        <f t="shared" si="0"/>
        <v>1.5999999999999999</v>
      </c>
      <c r="I17" s="19">
        <f t="shared" si="1"/>
        <v>1.5999999999999999</v>
      </c>
    </row>
    <row r="18" spans="1:9" ht="15.75" thickBot="1" x14ac:dyDescent="0.3">
      <c r="A18" s="4">
        <v>8</v>
      </c>
      <c r="B18" s="11" t="s">
        <v>56</v>
      </c>
      <c r="C18" s="5" t="s">
        <v>64</v>
      </c>
      <c r="D18" s="5" t="s">
        <v>64</v>
      </c>
      <c r="E18" s="7">
        <v>4</v>
      </c>
      <c r="F18" s="19">
        <f>(16+18+19.5)/3</f>
        <v>17.833333333333332</v>
      </c>
      <c r="G18" s="19">
        <f>(16+18+19.5)/3</f>
        <v>17.833333333333332</v>
      </c>
      <c r="H18" s="19">
        <f t="shared" si="0"/>
        <v>71.333333333333329</v>
      </c>
      <c r="I18" s="19">
        <f t="shared" si="1"/>
        <v>71.333333333333329</v>
      </c>
    </row>
    <row r="19" spans="1:9" ht="15.75" thickBot="1" x14ac:dyDescent="0.3">
      <c r="A19" s="4">
        <v>9</v>
      </c>
      <c r="B19" s="11" t="s">
        <v>65</v>
      </c>
      <c r="C19" s="5" t="s">
        <v>14</v>
      </c>
      <c r="D19" s="5" t="s">
        <v>66</v>
      </c>
      <c r="E19" s="7">
        <v>2</v>
      </c>
      <c r="F19" s="18">
        <f>(1.53+1.7+1.87)/3</f>
        <v>1.7</v>
      </c>
      <c r="G19" s="19">
        <f>(1.4+1.9+2.3)/3</f>
        <v>1.8666666666666665</v>
      </c>
      <c r="H19" s="19">
        <f t="shared" si="0"/>
        <v>3.4</v>
      </c>
      <c r="I19" s="19">
        <f t="shared" si="1"/>
        <v>3.7333333333333329</v>
      </c>
    </row>
    <row r="20" spans="1:9" ht="15.75" thickBot="1" x14ac:dyDescent="0.3">
      <c r="A20" s="4">
        <v>10</v>
      </c>
      <c r="B20" s="11" t="s">
        <v>67</v>
      </c>
      <c r="C20" s="5" t="s">
        <v>68</v>
      </c>
      <c r="D20" s="5" t="s">
        <v>68</v>
      </c>
      <c r="E20" s="7">
        <v>3</v>
      </c>
      <c r="F20" s="19">
        <f>(7+11+12.5)/3</f>
        <v>10.166666666666666</v>
      </c>
      <c r="G20" s="19">
        <f>(7+11+12.5)/3</f>
        <v>10.166666666666666</v>
      </c>
      <c r="H20" s="19">
        <f t="shared" si="0"/>
        <v>30.5</v>
      </c>
      <c r="I20" s="19">
        <f t="shared" si="1"/>
        <v>30.5</v>
      </c>
    </row>
    <row r="21" spans="1:9" ht="15.75" thickBot="1" x14ac:dyDescent="0.3">
      <c r="A21" s="4">
        <v>11</v>
      </c>
      <c r="B21" s="11" t="s">
        <v>69</v>
      </c>
      <c r="C21" s="5" t="s">
        <v>39</v>
      </c>
      <c r="D21" s="5" t="s">
        <v>39</v>
      </c>
      <c r="E21" s="7">
        <v>1</v>
      </c>
      <c r="F21" s="18">
        <f>(0.45+0.5+0.55)/3</f>
        <v>0.5</v>
      </c>
      <c r="G21" s="18">
        <f>(0.45+0.5+0.55)/3</f>
        <v>0.5</v>
      </c>
      <c r="H21" s="19">
        <f t="shared" si="0"/>
        <v>0.5</v>
      </c>
      <c r="I21" s="19">
        <f t="shared" si="1"/>
        <v>0.5</v>
      </c>
    </row>
    <row r="22" spans="1:9" ht="15.75" thickBot="1" x14ac:dyDescent="0.3">
      <c r="A22" s="4">
        <v>11</v>
      </c>
      <c r="B22" s="11" t="s">
        <v>70</v>
      </c>
      <c r="C22" s="5" t="s">
        <v>29</v>
      </c>
      <c r="D22" s="5" t="s">
        <v>29</v>
      </c>
      <c r="E22" s="7">
        <v>1</v>
      </c>
      <c r="F22" s="22">
        <f>(1.71+1.9+2.09)/3</f>
        <v>1.8999999999999997</v>
      </c>
      <c r="G22" s="22">
        <f>(1.71+1.9+2.09)/3</f>
        <v>1.8999999999999997</v>
      </c>
      <c r="H22" s="19">
        <f t="shared" si="0"/>
        <v>1.8999999999999997</v>
      </c>
      <c r="I22" s="19">
        <f t="shared" si="1"/>
        <v>1.8999999999999997</v>
      </c>
    </row>
    <row r="23" spans="1:9" x14ac:dyDescent="0.25">
      <c r="F23" s="23">
        <f>SUM(F3:F22)</f>
        <v>116.63333333333334</v>
      </c>
      <c r="G23" s="23">
        <f>SUM(G3:G22)</f>
        <v>116.65666666666665</v>
      </c>
      <c r="H23" s="23">
        <f>SUM(H3:H22)</f>
        <v>324.13333333333327</v>
      </c>
      <c r="I23" s="23">
        <f>SUM(I3:I22)</f>
        <v>323.98</v>
      </c>
    </row>
  </sheetData>
  <mergeCells count="4">
    <mergeCell ref="F1:F2"/>
    <mergeCell ref="G1:G2"/>
    <mergeCell ref="H1:H2"/>
    <mergeCell ref="I1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"/>
  <sheetViews>
    <sheetView zoomScale="98" workbookViewId="0">
      <selection activeCell="G33" sqref="G33"/>
    </sheetView>
  </sheetViews>
  <sheetFormatPr baseColWidth="10" defaultColWidth="9.140625" defaultRowHeight="15" x14ac:dyDescent="0.25"/>
  <cols>
    <col min="1" max="1" width="5.7109375" bestFit="1" customWidth="1"/>
    <col min="2" max="2" width="22.28515625" bestFit="1" customWidth="1"/>
    <col min="3" max="3" width="31.140625" bestFit="1" customWidth="1"/>
    <col min="4" max="4" width="31.7109375" bestFit="1" customWidth="1"/>
    <col min="5" max="5" width="10.42578125" bestFit="1" customWidth="1"/>
    <col min="6" max="6" width="16.5703125" customWidth="1"/>
    <col min="7" max="7" width="17" customWidth="1"/>
    <col min="8" max="8" width="15.140625" customWidth="1"/>
    <col min="9" max="9" width="15.7109375" customWidth="1"/>
  </cols>
  <sheetData>
    <row r="1" spans="1:9" x14ac:dyDescent="0.25">
      <c r="A1" s="12" t="s">
        <v>0</v>
      </c>
      <c r="B1" s="12" t="s">
        <v>1</v>
      </c>
      <c r="C1" s="2" t="s">
        <v>2</v>
      </c>
      <c r="D1" s="2" t="s">
        <v>2</v>
      </c>
      <c r="E1" s="2" t="s">
        <v>5</v>
      </c>
      <c r="F1" s="17" t="s">
        <v>137</v>
      </c>
      <c r="G1" s="17" t="s">
        <v>138</v>
      </c>
      <c r="H1" s="17" t="s">
        <v>152</v>
      </c>
      <c r="I1" s="17" t="s">
        <v>153</v>
      </c>
    </row>
    <row r="2" spans="1:9" ht="15.75" thickBot="1" x14ac:dyDescent="0.3">
      <c r="A2" s="13"/>
      <c r="B2" s="13"/>
      <c r="C2" s="3" t="s">
        <v>3</v>
      </c>
      <c r="D2" s="3" t="s">
        <v>4</v>
      </c>
      <c r="E2" s="3" t="s">
        <v>6</v>
      </c>
      <c r="F2" s="17"/>
      <c r="G2" s="17"/>
      <c r="H2" s="17"/>
      <c r="I2" s="17"/>
    </row>
    <row r="3" spans="1:9" ht="15.75" thickBot="1" x14ac:dyDescent="0.3">
      <c r="A3" s="4">
        <v>1</v>
      </c>
      <c r="B3" s="6" t="s">
        <v>71</v>
      </c>
      <c r="C3" s="5" t="s">
        <v>8</v>
      </c>
      <c r="D3" s="5" t="s">
        <v>72</v>
      </c>
      <c r="E3" s="7">
        <v>2</v>
      </c>
      <c r="F3" s="19">
        <f>(1.98+2.2+2.42)/3</f>
        <v>2.1999999999999997</v>
      </c>
      <c r="G3" s="19">
        <f>(1.33+2.25+2.98)/3</f>
        <v>2.186666666666667</v>
      </c>
      <c r="H3" s="19">
        <f>F3*E3</f>
        <v>4.3999999999999995</v>
      </c>
      <c r="I3" s="19">
        <f>G3*E3</f>
        <v>4.373333333333334</v>
      </c>
    </row>
    <row r="4" spans="1:9" ht="15.75" thickBot="1" x14ac:dyDescent="0.3">
      <c r="A4" s="4">
        <v>1</v>
      </c>
      <c r="B4" s="6" t="s">
        <v>73</v>
      </c>
      <c r="C4" s="5" t="s">
        <v>31</v>
      </c>
      <c r="D4" s="5" t="s">
        <v>74</v>
      </c>
      <c r="E4" s="7">
        <v>3</v>
      </c>
      <c r="F4" s="19">
        <f>(5+6.5+7.2)/3</f>
        <v>6.2333333333333334</v>
      </c>
      <c r="G4" s="19">
        <f>(4.2+5.4+6.23)/3</f>
        <v>5.2766666666666673</v>
      </c>
      <c r="H4" s="19">
        <f t="shared" ref="H4:H21" si="0">F4*E4</f>
        <v>18.7</v>
      </c>
      <c r="I4" s="19">
        <f t="shared" ref="I4:I21" si="1">G4*E4</f>
        <v>15.830000000000002</v>
      </c>
    </row>
    <row r="5" spans="1:9" ht="15.75" thickBot="1" x14ac:dyDescent="0.3">
      <c r="A5" s="4">
        <v>1</v>
      </c>
      <c r="B5" s="6" t="s">
        <v>129</v>
      </c>
      <c r="C5" s="5" t="s">
        <v>11</v>
      </c>
      <c r="D5" s="5" t="s">
        <v>11</v>
      </c>
      <c r="E5" s="7">
        <v>2</v>
      </c>
      <c r="F5" s="19">
        <f>(2.07+2.3+2.53)/3</f>
        <v>2.2999999999999994</v>
      </c>
      <c r="G5" s="19">
        <f>(2.07+2.3+2.53)/3</f>
        <v>2.2999999999999994</v>
      </c>
      <c r="H5" s="19">
        <f t="shared" si="0"/>
        <v>4.5999999999999988</v>
      </c>
      <c r="I5" s="19">
        <f t="shared" si="1"/>
        <v>4.5999999999999988</v>
      </c>
    </row>
    <row r="6" spans="1:9" ht="15.75" thickBot="1" x14ac:dyDescent="0.3">
      <c r="A6" s="4">
        <v>2</v>
      </c>
      <c r="B6" s="6" t="s">
        <v>130</v>
      </c>
      <c r="C6" s="5" t="s">
        <v>11</v>
      </c>
      <c r="D6" s="5" t="s">
        <v>75</v>
      </c>
      <c r="E6" s="7">
        <v>2</v>
      </c>
      <c r="F6" s="19">
        <f>(2.07+2.3+2.53)/3</f>
        <v>2.2999999999999994</v>
      </c>
      <c r="G6" s="19">
        <f>(2.1+2.45+2.58)/3</f>
        <v>2.3766666666666669</v>
      </c>
      <c r="H6" s="19">
        <f t="shared" si="0"/>
        <v>4.5999999999999988</v>
      </c>
      <c r="I6" s="19">
        <f t="shared" si="1"/>
        <v>4.7533333333333339</v>
      </c>
    </row>
    <row r="7" spans="1:9" ht="15.75" thickBot="1" x14ac:dyDescent="0.3">
      <c r="A7" s="4">
        <v>2</v>
      </c>
      <c r="B7" s="6" t="s">
        <v>76</v>
      </c>
      <c r="C7" s="5" t="s">
        <v>14</v>
      </c>
      <c r="D7" s="5" t="s">
        <v>14</v>
      </c>
      <c r="E7" s="7">
        <v>2</v>
      </c>
      <c r="F7" s="19">
        <f>(1.53+1.7+1.87)/3</f>
        <v>1.7</v>
      </c>
      <c r="G7" s="19">
        <f>(1.53+1.7+1.87)/3</f>
        <v>1.7</v>
      </c>
      <c r="H7" s="19">
        <f t="shared" si="0"/>
        <v>3.4</v>
      </c>
      <c r="I7" s="19">
        <f t="shared" si="1"/>
        <v>3.4</v>
      </c>
    </row>
    <row r="8" spans="1:9" ht="15.75" thickBot="1" x14ac:dyDescent="0.3">
      <c r="A8" s="4">
        <v>3</v>
      </c>
      <c r="B8" s="6" t="s">
        <v>71</v>
      </c>
      <c r="C8" s="5" t="s">
        <v>15</v>
      </c>
      <c r="D8" s="5" t="s">
        <v>77</v>
      </c>
      <c r="E8" s="7">
        <v>2</v>
      </c>
      <c r="F8" s="19">
        <f>(1.62+1.8+1.98)/3</f>
        <v>1.8</v>
      </c>
      <c r="G8" s="19">
        <f>(1.62+1.8+1.98)/3</f>
        <v>1.8</v>
      </c>
      <c r="H8" s="19">
        <f t="shared" si="0"/>
        <v>3.6</v>
      </c>
      <c r="I8" s="19">
        <f t="shared" si="1"/>
        <v>3.6</v>
      </c>
    </row>
    <row r="9" spans="1:9" ht="15.75" thickBot="1" x14ac:dyDescent="0.3">
      <c r="A9" s="4">
        <v>4</v>
      </c>
      <c r="B9" s="6" t="s">
        <v>78</v>
      </c>
      <c r="C9" s="5" t="s">
        <v>18</v>
      </c>
      <c r="D9" s="5" t="s">
        <v>79</v>
      </c>
      <c r="E9" s="7">
        <v>3</v>
      </c>
      <c r="F9" s="19">
        <f>(1.8+2+2.2)/3</f>
        <v>2</v>
      </c>
      <c r="G9" s="19">
        <f>(1.2+3.3+4.1)/3</f>
        <v>2.8666666666666667</v>
      </c>
      <c r="H9" s="19">
        <f t="shared" si="0"/>
        <v>6</v>
      </c>
      <c r="I9" s="19">
        <f t="shared" si="1"/>
        <v>8.6</v>
      </c>
    </row>
    <row r="10" spans="1:9" ht="15.75" thickBot="1" x14ac:dyDescent="0.3">
      <c r="A10" s="4">
        <v>4</v>
      </c>
      <c r="B10" s="6" t="s">
        <v>80</v>
      </c>
      <c r="C10" s="5" t="s">
        <v>81</v>
      </c>
      <c r="D10" s="5" t="s">
        <v>82</v>
      </c>
      <c r="E10" s="7">
        <v>2</v>
      </c>
      <c r="F10" s="19">
        <f>(12+13.4+14.2)/3</f>
        <v>13.199999999999998</v>
      </c>
      <c r="G10" s="19">
        <f>(15+16.4+17)/3</f>
        <v>16.133333333333333</v>
      </c>
      <c r="H10" s="19">
        <f t="shared" si="0"/>
        <v>26.399999999999995</v>
      </c>
      <c r="I10" s="19">
        <f>G10*E10</f>
        <v>32.266666666666666</v>
      </c>
    </row>
    <row r="11" spans="1:9" ht="15.75" thickBot="1" x14ac:dyDescent="0.3">
      <c r="A11" s="4">
        <v>4</v>
      </c>
      <c r="B11" s="6" t="s">
        <v>83</v>
      </c>
      <c r="C11" s="5" t="s">
        <v>23</v>
      </c>
      <c r="D11" s="5" t="s">
        <v>23</v>
      </c>
      <c r="E11" s="7">
        <v>2</v>
      </c>
      <c r="F11" s="19">
        <f>(1.89+2.1+2.31)/3</f>
        <v>2.1</v>
      </c>
      <c r="G11" s="19">
        <f>(1.89+2.1+2.31)/3</f>
        <v>2.1</v>
      </c>
      <c r="H11" s="19">
        <f t="shared" si="0"/>
        <v>4.2</v>
      </c>
      <c r="I11" s="19">
        <f t="shared" si="1"/>
        <v>4.2</v>
      </c>
    </row>
    <row r="12" spans="1:9" ht="15.75" thickBot="1" x14ac:dyDescent="0.3">
      <c r="A12" s="4">
        <v>5</v>
      </c>
      <c r="B12" s="6" t="s">
        <v>84</v>
      </c>
      <c r="C12" s="5" t="s">
        <v>24</v>
      </c>
      <c r="D12" s="5" t="s">
        <v>85</v>
      </c>
      <c r="E12" s="7">
        <v>2</v>
      </c>
      <c r="F12" s="19">
        <f>(2.34+2.6+2.86)/3</f>
        <v>2.5999999999999996</v>
      </c>
      <c r="G12" s="19">
        <f>(2.44+2.65+3.6)/3</f>
        <v>2.8966666666666665</v>
      </c>
      <c r="H12" s="19">
        <f t="shared" si="0"/>
        <v>5.1999999999999993</v>
      </c>
      <c r="I12" s="19">
        <f t="shared" si="1"/>
        <v>5.793333333333333</v>
      </c>
    </row>
    <row r="13" spans="1:9" ht="15.75" thickBot="1" x14ac:dyDescent="0.3">
      <c r="A13" s="4">
        <v>6</v>
      </c>
      <c r="B13" s="6" t="s">
        <v>80</v>
      </c>
      <c r="C13" s="5" t="s">
        <v>86</v>
      </c>
      <c r="D13" s="5" t="s">
        <v>87</v>
      </c>
      <c r="E13" s="7">
        <v>5</v>
      </c>
      <c r="F13" s="19">
        <f>(4+6.3+7.1)/3</f>
        <v>5.8</v>
      </c>
      <c r="G13" s="19">
        <f>(3.3+5.4+6.1)/3</f>
        <v>4.9333333333333327</v>
      </c>
      <c r="H13" s="19">
        <f t="shared" si="0"/>
        <v>29</v>
      </c>
      <c r="I13" s="19">
        <f t="shared" si="1"/>
        <v>24.666666666666664</v>
      </c>
    </row>
    <row r="14" spans="1:9" ht="15.75" thickBot="1" x14ac:dyDescent="0.3">
      <c r="A14" s="4">
        <v>6</v>
      </c>
      <c r="B14" s="6" t="s">
        <v>83</v>
      </c>
      <c r="C14" s="5" t="s">
        <v>60</v>
      </c>
      <c r="D14" s="5" t="s">
        <v>88</v>
      </c>
      <c r="E14" s="7">
        <v>2</v>
      </c>
      <c r="F14" s="19">
        <f>(12+15+17)/3</f>
        <v>14.666666666666666</v>
      </c>
      <c r="G14" s="19">
        <f>(10+12+15)/3</f>
        <v>12.333333333333334</v>
      </c>
      <c r="H14" s="19">
        <f t="shared" si="0"/>
        <v>29.333333333333332</v>
      </c>
      <c r="I14" s="19">
        <f t="shared" si="1"/>
        <v>24.666666666666668</v>
      </c>
    </row>
    <row r="15" spans="1:9" ht="15.75" thickBot="1" x14ac:dyDescent="0.3">
      <c r="A15" s="4">
        <v>7</v>
      </c>
      <c r="B15" s="6" t="s">
        <v>89</v>
      </c>
      <c r="C15" s="5" t="s">
        <v>30</v>
      </c>
      <c r="D15" s="5" t="s">
        <v>30</v>
      </c>
      <c r="E15" s="7">
        <v>4</v>
      </c>
      <c r="F15" s="19">
        <f>(1.35+1.5+1.65)/3</f>
        <v>1.5</v>
      </c>
      <c r="G15" s="19">
        <f>(1.35+1.5+1.65)/3</f>
        <v>1.5</v>
      </c>
      <c r="H15" s="19">
        <f t="shared" si="0"/>
        <v>6</v>
      </c>
      <c r="I15" s="19">
        <f t="shared" si="1"/>
        <v>6</v>
      </c>
    </row>
    <row r="16" spans="1:9" ht="15.75" thickBot="1" x14ac:dyDescent="0.3">
      <c r="A16" s="4">
        <v>7</v>
      </c>
      <c r="B16" s="6" t="s">
        <v>80</v>
      </c>
      <c r="C16" s="5" t="s">
        <v>90</v>
      </c>
      <c r="D16" s="5" t="s">
        <v>31</v>
      </c>
      <c r="E16" s="7">
        <v>2</v>
      </c>
      <c r="F16" s="19">
        <f>(2+4.3+5.2)/3</f>
        <v>3.8333333333333335</v>
      </c>
      <c r="G16" s="19">
        <f>(5+6.5+7.2)/3</f>
        <v>6.2333333333333334</v>
      </c>
      <c r="H16" s="19">
        <f t="shared" si="0"/>
        <v>7.666666666666667</v>
      </c>
      <c r="I16" s="19">
        <f t="shared" si="1"/>
        <v>12.466666666666667</v>
      </c>
    </row>
    <row r="17" spans="1:9" ht="15.75" thickBot="1" x14ac:dyDescent="0.3">
      <c r="A17" s="4">
        <v>8</v>
      </c>
      <c r="B17" s="6" t="s">
        <v>91</v>
      </c>
      <c r="C17" s="5" t="s">
        <v>33</v>
      </c>
      <c r="D17" s="5" t="s">
        <v>33</v>
      </c>
      <c r="E17" s="7">
        <v>2</v>
      </c>
      <c r="F17" s="19">
        <f>(0.72+0.8+0.88)/3</f>
        <v>0.79999999999999993</v>
      </c>
      <c r="G17" s="19">
        <f>(0.72+0.8+0.88)/3</f>
        <v>0.79999999999999993</v>
      </c>
      <c r="H17" s="19">
        <f t="shared" si="0"/>
        <v>1.5999999999999999</v>
      </c>
      <c r="I17" s="19">
        <f t="shared" si="1"/>
        <v>1.5999999999999999</v>
      </c>
    </row>
    <row r="18" spans="1:9" ht="15.75" thickBot="1" x14ac:dyDescent="0.3">
      <c r="A18" s="4">
        <v>9</v>
      </c>
      <c r="B18" s="6" t="s">
        <v>92</v>
      </c>
      <c r="C18" s="5" t="s">
        <v>93</v>
      </c>
      <c r="D18" s="5" t="s">
        <v>93</v>
      </c>
      <c r="E18" s="7">
        <v>3</v>
      </c>
      <c r="F18" s="19">
        <f>(16.25+18+19.5)/3</f>
        <v>17.916666666666668</v>
      </c>
      <c r="G18" s="19">
        <f>(16.25+18+19.5)/3</f>
        <v>17.916666666666668</v>
      </c>
      <c r="H18" s="19">
        <f t="shared" si="0"/>
        <v>53.75</v>
      </c>
      <c r="I18" s="19">
        <f t="shared" si="1"/>
        <v>53.75</v>
      </c>
    </row>
    <row r="19" spans="1:9" ht="15.75" thickBot="1" x14ac:dyDescent="0.3">
      <c r="A19" s="4">
        <v>10</v>
      </c>
      <c r="B19" s="6" t="s">
        <v>80</v>
      </c>
      <c r="C19" s="5" t="s">
        <v>14</v>
      </c>
      <c r="D19" s="5" t="s">
        <v>94</v>
      </c>
      <c r="E19" s="7">
        <v>2</v>
      </c>
      <c r="F19" s="19">
        <f>(1.53+1.7+1.87)/3</f>
        <v>1.7</v>
      </c>
      <c r="G19" s="19">
        <f>(1.44+2.3+3.1)/3</f>
        <v>2.2799999999999998</v>
      </c>
      <c r="H19" s="19">
        <f t="shared" si="0"/>
        <v>3.4</v>
      </c>
      <c r="I19" s="19">
        <f t="shared" si="1"/>
        <v>4.5599999999999996</v>
      </c>
    </row>
    <row r="20" spans="1:9" ht="15.75" thickBot="1" x14ac:dyDescent="0.3">
      <c r="A20" s="4">
        <v>10</v>
      </c>
      <c r="B20" s="6" t="s">
        <v>83</v>
      </c>
      <c r="C20" s="5" t="s">
        <v>95</v>
      </c>
      <c r="D20" s="5" t="s">
        <v>96</v>
      </c>
      <c r="E20" s="7">
        <v>3</v>
      </c>
      <c r="F20" s="19">
        <f>(3+4+5)/3</f>
        <v>4</v>
      </c>
      <c r="G20" s="19">
        <f>(3.5+4.5+5.5)/3</f>
        <v>4.5</v>
      </c>
      <c r="H20" s="19">
        <f t="shared" si="0"/>
        <v>12</v>
      </c>
      <c r="I20" s="19">
        <f t="shared" si="1"/>
        <v>13.5</v>
      </c>
    </row>
    <row r="21" spans="1:9" ht="15.75" thickBot="1" x14ac:dyDescent="0.3">
      <c r="A21" s="4">
        <v>11</v>
      </c>
      <c r="B21" s="6" t="s">
        <v>97</v>
      </c>
      <c r="C21" s="5" t="s">
        <v>39</v>
      </c>
      <c r="D21" s="5" t="s">
        <v>39</v>
      </c>
      <c r="E21" s="16">
        <v>1</v>
      </c>
      <c r="F21" s="19">
        <f>(0.45+0.5+0.55)/3</f>
        <v>0.5</v>
      </c>
      <c r="G21" s="19">
        <f>(0.45+0.5+0.55)/3</f>
        <v>0.5</v>
      </c>
      <c r="H21" s="19">
        <f t="shared" si="0"/>
        <v>0.5</v>
      </c>
      <c r="I21" s="19">
        <f t="shared" si="1"/>
        <v>0.5</v>
      </c>
    </row>
    <row r="22" spans="1:9" x14ac:dyDescent="0.25">
      <c r="F22" s="23">
        <f>SUM(F2:F21)</f>
        <v>87.149999999999991</v>
      </c>
      <c r="G22" s="23">
        <f>SUM(G2:G21)</f>
        <v>90.63333333333334</v>
      </c>
      <c r="H22" s="23">
        <f>SUM(H3:H21)</f>
        <v>224.35</v>
      </c>
      <c r="I22" s="23">
        <f>SUM(I3:I21)</f>
        <v>229.12666666666667</v>
      </c>
    </row>
    <row r="23" spans="1:9" x14ac:dyDescent="0.25">
      <c r="F23" s="24"/>
      <c r="G23" s="25"/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="104" workbookViewId="0">
      <selection activeCell="H1" sqref="H1:I2"/>
    </sheetView>
  </sheetViews>
  <sheetFormatPr baseColWidth="10" defaultColWidth="9.140625" defaultRowHeight="15" x14ac:dyDescent="0.25"/>
  <cols>
    <col min="1" max="1" width="5.7109375" bestFit="1" customWidth="1"/>
    <col min="2" max="2" width="24.140625" bestFit="1" customWidth="1"/>
    <col min="3" max="4" width="31.7109375" bestFit="1" customWidth="1"/>
    <col min="5" max="5" width="10.42578125" bestFit="1" customWidth="1"/>
    <col min="6" max="6" width="17.7109375" customWidth="1"/>
    <col min="7" max="7" width="17.140625" customWidth="1"/>
    <col min="8" max="8" width="18.7109375" customWidth="1"/>
    <col min="9" max="9" width="16.28515625" customWidth="1"/>
  </cols>
  <sheetData>
    <row r="1" spans="1:9" x14ac:dyDescent="0.25">
      <c r="A1" s="12" t="s">
        <v>0</v>
      </c>
      <c r="B1" s="12" t="s">
        <v>1</v>
      </c>
      <c r="C1" s="2" t="s">
        <v>2</v>
      </c>
      <c r="D1" s="2" t="s">
        <v>2</v>
      </c>
      <c r="E1" s="2" t="s">
        <v>5</v>
      </c>
      <c r="F1" s="17" t="s">
        <v>137</v>
      </c>
      <c r="G1" s="17" t="s">
        <v>138</v>
      </c>
      <c r="H1" s="17" t="s">
        <v>152</v>
      </c>
      <c r="I1" s="17" t="s">
        <v>153</v>
      </c>
    </row>
    <row r="2" spans="1:9" ht="15.75" thickBot="1" x14ac:dyDescent="0.3">
      <c r="A2" s="13"/>
      <c r="B2" s="13"/>
      <c r="C2" s="3" t="s">
        <v>3</v>
      </c>
      <c r="D2" s="3" t="s">
        <v>4</v>
      </c>
      <c r="E2" s="3" t="s">
        <v>6</v>
      </c>
      <c r="F2" s="17"/>
      <c r="G2" s="17"/>
      <c r="H2" s="17"/>
      <c r="I2" s="17"/>
    </row>
    <row r="3" spans="1:9" ht="15.75" thickBot="1" x14ac:dyDescent="0.3">
      <c r="A3" s="4">
        <v>1</v>
      </c>
      <c r="B3" s="6" t="s">
        <v>98</v>
      </c>
      <c r="C3" s="5" t="s">
        <v>99</v>
      </c>
      <c r="D3" s="5" t="s">
        <v>72</v>
      </c>
      <c r="E3" s="7">
        <v>2</v>
      </c>
      <c r="F3" s="19">
        <f>(1.88+2.62+2.82)/3</f>
        <v>2.44</v>
      </c>
      <c r="G3" s="19">
        <f>(1.33+2.25+2.98)/3</f>
        <v>2.186666666666667</v>
      </c>
      <c r="H3" s="19">
        <f>F3*E3</f>
        <v>4.88</v>
      </c>
      <c r="I3" s="19">
        <f>G3*E3</f>
        <v>4.373333333333334</v>
      </c>
    </row>
    <row r="4" spans="1:9" ht="15.75" thickBot="1" x14ac:dyDescent="0.3">
      <c r="A4" s="4">
        <v>1</v>
      </c>
      <c r="B4" s="6" t="s">
        <v>100</v>
      </c>
      <c r="C4" s="5" t="s">
        <v>101</v>
      </c>
      <c r="D4" s="5" t="s">
        <v>74</v>
      </c>
      <c r="E4" s="7">
        <v>4</v>
      </c>
      <c r="F4" s="19">
        <f>(5.2+6.54+7.12)/3</f>
        <v>6.2866666666666662</v>
      </c>
      <c r="G4" s="19">
        <f>(4.2+5.4+6.23)/3</f>
        <v>5.2766666666666673</v>
      </c>
      <c r="H4" s="19">
        <f t="shared" ref="H4:H22" si="0">F4*E4</f>
        <v>25.146666666666665</v>
      </c>
      <c r="I4" s="19">
        <f t="shared" ref="I4:I22" si="1">G4*E4</f>
        <v>21.106666666666669</v>
      </c>
    </row>
    <row r="5" spans="1:9" ht="15.75" thickBot="1" x14ac:dyDescent="0.3">
      <c r="A5" s="4">
        <v>2</v>
      </c>
      <c r="B5" s="6" t="s">
        <v>102</v>
      </c>
      <c r="C5" s="5" t="s">
        <v>11</v>
      </c>
      <c r="D5" s="5" t="s">
        <v>11</v>
      </c>
      <c r="E5" s="7">
        <v>2</v>
      </c>
      <c r="F5" s="19">
        <f>(2.07+2.3+2.53)/3</f>
        <v>2.2999999999999994</v>
      </c>
      <c r="G5" s="19">
        <f>(2.07+2.3+2.53)/3</f>
        <v>2.2999999999999994</v>
      </c>
      <c r="H5" s="19">
        <f t="shared" si="0"/>
        <v>4.5999999999999988</v>
      </c>
      <c r="I5" s="19">
        <f t="shared" si="1"/>
        <v>4.5999999999999988</v>
      </c>
    </row>
    <row r="6" spans="1:9" ht="15.75" thickBot="1" x14ac:dyDescent="0.3">
      <c r="A6" s="4">
        <v>2</v>
      </c>
      <c r="B6" s="6" t="s">
        <v>103</v>
      </c>
      <c r="C6" s="5" t="s">
        <v>75</v>
      </c>
      <c r="D6" s="5" t="s">
        <v>75</v>
      </c>
      <c r="E6" s="7">
        <v>2</v>
      </c>
      <c r="F6" s="19">
        <f>(2.1+2.45+2.58)/3</f>
        <v>2.3766666666666669</v>
      </c>
      <c r="G6" s="19">
        <f>(2.1+2.45+2.58)/3</f>
        <v>2.3766666666666669</v>
      </c>
      <c r="H6" s="19">
        <f t="shared" si="0"/>
        <v>4.7533333333333339</v>
      </c>
      <c r="I6" s="19">
        <f t="shared" si="1"/>
        <v>4.7533333333333339</v>
      </c>
    </row>
    <row r="7" spans="1:9" ht="15.75" thickBot="1" x14ac:dyDescent="0.3">
      <c r="A7" s="4">
        <v>3</v>
      </c>
      <c r="B7" s="6" t="s">
        <v>104</v>
      </c>
      <c r="C7" s="5" t="s">
        <v>14</v>
      </c>
      <c r="D7" s="5" t="s">
        <v>14</v>
      </c>
      <c r="E7" s="7">
        <v>2</v>
      </c>
      <c r="F7" s="19">
        <f>(1.53+1.7+1.87)/3</f>
        <v>1.7</v>
      </c>
      <c r="G7" s="19">
        <f>(1.53+1.7+1.87)/3</f>
        <v>1.7</v>
      </c>
      <c r="H7" s="19">
        <f t="shared" si="0"/>
        <v>3.4</v>
      </c>
      <c r="I7" s="19">
        <f t="shared" si="1"/>
        <v>3.4</v>
      </c>
    </row>
    <row r="8" spans="1:9" ht="15.75" thickBot="1" x14ac:dyDescent="0.3">
      <c r="A8" s="4">
        <v>3</v>
      </c>
      <c r="B8" s="6" t="s">
        <v>105</v>
      </c>
      <c r="C8" s="5" t="s">
        <v>15</v>
      </c>
      <c r="D8" s="5" t="s">
        <v>77</v>
      </c>
      <c r="E8" s="7">
        <v>2</v>
      </c>
      <c r="F8" s="19">
        <f>(1.62+1.8+1.98)/3</f>
        <v>1.8</v>
      </c>
      <c r="G8" s="19">
        <f>(1.2+1.34+1.6)/3</f>
        <v>1.3800000000000001</v>
      </c>
      <c r="H8" s="19">
        <f t="shared" si="0"/>
        <v>3.6</v>
      </c>
      <c r="I8" s="19">
        <f t="shared" si="1"/>
        <v>2.7600000000000002</v>
      </c>
    </row>
    <row r="9" spans="1:9" ht="15.75" thickBot="1" x14ac:dyDescent="0.3">
      <c r="A9" s="4">
        <v>3</v>
      </c>
      <c r="B9" s="6" t="s">
        <v>106</v>
      </c>
      <c r="C9" s="5" t="s">
        <v>107</v>
      </c>
      <c r="D9" s="5" t="s">
        <v>108</v>
      </c>
      <c r="E9" s="7">
        <v>4</v>
      </c>
      <c r="F9" s="19">
        <f>(18+20+22)/3</f>
        <v>20</v>
      </c>
      <c r="G9" s="19">
        <f>(13.2+15.3+16)/3</f>
        <v>14.833333333333334</v>
      </c>
      <c r="H9" s="19">
        <f t="shared" si="0"/>
        <v>80</v>
      </c>
      <c r="I9" s="19">
        <f t="shared" si="1"/>
        <v>59.333333333333336</v>
      </c>
    </row>
    <row r="10" spans="1:9" ht="15.75" thickBot="1" x14ac:dyDescent="0.3">
      <c r="A10" s="4">
        <v>4</v>
      </c>
      <c r="B10" s="6" t="s">
        <v>109</v>
      </c>
      <c r="C10" s="5" t="s">
        <v>110</v>
      </c>
      <c r="D10" s="5" t="s">
        <v>110</v>
      </c>
      <c r="E10" s="7">
        <v>2</v>
      </c>
      <c r="F10" s="19">
        <f>(1.6+1.8+1.9)/3</f>
        <v>1.7666666666666668</v>
      </c>
      <c r="G10" s="19">
        <f>(1.6+1.8+1.9)/3</f>
        <v>1.7666666666666668</v>
      </c>
      <c r="H10" s="19">
        <f t="shared" si="0"/>
        <v>3.5333333333333337</v>
      </c>
      <c r="I10" s="19">
        <f t="shared" si="1"/>
        <v>3.5333333333333337</v>
      </c>
    </row>
    <row r="11" spans="1:9" ht="15.75" thickBot="1" x14ac:dyDescent="0.3">
      <c r="A11" s="4">
        <v>4</v>
      </c>
      <c r="B11" s="6" t="s">
        <v>111</v>
      </c>
      <c r="C11" s="5" t="s">
        <v>23</v>
      </c>
      <c r="D11" s="5" t="s">
        <v>23</v>
      </c>
      <c r="E11" s="7">
        <v>2</v>
      </c>
      <c r="F11" s="19">
        <f>(1.89+2.1+2.31)/3</f>
        <v>2.1</v>
      </c>
      <c r="G11" s="19">
        <f>(1.89+2.1+2.31)/3</f>
        <v>2.1</v>
      </c>
      <c r="H11" s="19">
        <f t="shared" si="0"/>
        <v>4.2</v>
      </c>
      <c r="I11" s="19">
        <f t="shared" si="1"/>
        <v>4.2</v>
      </c>
    </row>
    <row r="12" spans="1:9" ht="15.75" thickBot="1" x14ac:dyDescent="0.3">
      <c r="A12" s="4">
        <v>5</v>
      </c>
      <c r="B12" s="6" t="s">
        <v>112</v>
      </c>
      <c r="C12" s="5" t="s">
        <v>24</v>
      </c>
      <c r="D12" s="5" t="s">
        <v>85</v>
      </c>
      <c r="E12" s="7">
        <v>2</v>
      </c>
      <c r="F12" s="19">
        <f>(2.34+2.6+2.86)/3</f>
        <v>2.5999999999999996</v>
      </c>
      <c r="G12" s="19">
        <f>(2.44+2.65+3.6)/3</f>
        <v>2.8966666666666665</v>
      </c>
      <c r="H12" s="19">
        <f t="shared" si="0"/>
        <v>5.1999999999999993</v>
      </c>
      <c r="I12" s="19">
        <f t="shared" si="1"/>
        <v>5.793333333333333</v>
      </c>
    </row>
    <row r="13" spans="1:9" ht="15.75" thickBot="1" x14ac:dyDescent="0.3">
      <c r="A13" s="4">
        <v>6</v>
      </c>
      <c r="B13" s="6" t="s">
        <v>113</v>
      </c>
      <c r="C13" s="5" t="s">
        <v>57</v>
      </c>
      <c r="D13" s="5" t="s">
        <v>57</v>
      </c>
      <c r="E13" s="7">
        <v>2</v>
      </c>
      <c r="F13" s="19">
        <f>(0.9+1+1.1)/3</f>
        <v>1</v>
      </c>
      <c r="G13" s="19">
        <f>(0.9+1+1.1)/3</f>
        <v>1</v>
      </c>
      <c r="H13" s="19">
        <f t="shared" si="0"/>
        <v>2</v>
      </c>
      <c r="I13" s="19">
        <f t="shared" si="1"/>
        <v>2</v>
      </c>
    </row>
    <row r="14" spans="1:9" ht="15.75" thickBot="1" x14ac:dyDescent="0.3">
      <c r="A14" s="4">
        <v>6</v>
      </c>
      <c r="B14" s="6" t="s">
        <v>114</v>
      </c>
      <c r="C14" s="5" t="s">
        <v>60</v>
      </c>
      <c r="D14" s="5" t="s">
        <v>88</v>
      </c>
      <c r="E14" s="7">
        <v>3</v>
      </c>
      <c r="F14" s="19">
        <f>(12+15+17)/3</f>
        <v>14.666666666666666</v>
      </c>
      <c r="G14" s="19">
        <f>(10+12+15)/3</f>
        <v>12.333333333333334</v>
      </c>
      <c r="H14" s="19">
        <f t="shared" si="0"/>
        <v>44</v>
      </c>
      <c r="I14" s="19">
        <f t="shared" si="1"/>
        <v>37</v>
      </c>
    </row>
    <row r="15" spans="1:9" ht="15.75" thickBot="1" x14ac:dyDescent="0.3">
      <c r="A15" s="4">
        <v>6</v>
      </c>
      <c r="B15" s="6" t="s">
        <v>115</v>
      </c>
      <c r="C15" s="5" t="s">
        <v>30</v>
      </c>
      <c r="D15" s="5" t="s">
        <v>30</v>
      </c>
      <c r="E15" s="7">
        <v>2</v>
      </c>
      <c r="F15" s="19">
        <f>(1.35+1.5+1.65)/3</f>
        <v>1.5</v>
      </c>
      <c r="G15" s="19">
        <f>(1.35+1.5+1.65)/3</f>
        <v>1.5</v>
      </c>
      <c r="H15" s="19">
        <f t="shared" si="0"/>
        <v>3</v>
      </c>
      <c r="I15" s="19">
        <f t="shared" si="1"/>
        <v>3</v>
      </c>
    </row>
    <row r="16" spans="1:9" ht="15.75" thickBot="1" x14ac:dyDescent="0.3">
      <c r="A16" s="4">
        <v>7</v>
      </c>
      <c r="B16" s="6" t="s">
        <v>116</v>
      </c>
      <c r="C16" s="5" t="s">
        <v>31</v>
      </c>
      <c r="D16" s="5" t="s">
        <v>31</v>
      </c>
      <c r="E16" s="7">
        <v>4</v>
      </c>
      <c r="F16" s="19">
        <f>(5+6.5+7.2)/3</f>
        <v>6.2333333333333334</v>
      </c>
      <c r="G16" s="19">
        <f>(5+6.5+7.2)/3</f>
        <v>6.2333333333333334</v>
      </c>
      <c r="H16" s="19">
        <f t="shared" si="0"/>
        <v>24.933333333333334</v>
      </c>
      <c r="I16" s="19">
        <f t="shared" si="1"/>
        <v>24.933333333333334</v>
      </c>
    </row>
    <row r="17" spans="1:9" ht="15.75" thickBot="1" x14ac:dyDescent="0.3">
      <c r="A17" s="4">
        <v>8</v>
      </c>
      <c r="B17" s="6" t="s">
        <v>117</v>
      </c>
      <c r="C17" s="5" t="s">
        <v>33</v>
      </c>
      <c r="D17" s="5" t="s">
        <v>33</v>
      </c>
      <c r="E17" s="7">
        <v>2</v>
      </c>
      <c r="F17" s="19">
        <f>(0.72+0.8+0.88)/3</f>
        <v>0.79999999999999993</v>
      </c>
      <c r="G17" s="19">
        <f>(0.72+0.8+0.88)/3</f>
        <v>0.79999999999999993</v>
      </c>
      <c r="H17" s="19">
        <f t="shared" si="0"/>
        <v>1.5999999999999999</v>
      </c>
      <c r="I17" s="19">
        <f t="shared" si="1"/>
        <v>1.5999999999999999</v>
      </c>
    </row>
    <row r="18" spans="1:9" ht="15.75" thickBot="1" x14ac:dyDescent="0.3">
      <c r="A18" s="4">
        <v>9</v>
      </c>
      <c r="B18" s="6" t="s">
        <v>118</v>
      </c>
      <c r="C18" s="5" t="s">
        <v>93</v>
      </c>
      <c r="D18" s="5" t="s">
        <v>93</v>
      </c>
      <c r="E18" s="7">
        <v>4</v>
      </c>
      <c r="F18" s="19">
        <f>(16.25+18+19.5)/3</f>
        <v>17.916666666666668</v>
      </c>
      <c r="G18" s="19">
        <f>(16.25+18+19.5)/3</f>
        <v>17.916666666666668</v>
      </c>
      <c r="H18" s="19">
        <f t="shared" si="0"/>
        <v>71.666666666666671</v>
      </c>
      <c r="I18" s="19">
        <f t="shared" si="1"/>
        <v>71.666666666666671</v>
      </c>
    </row>
    <row r="19" spans="1:9" ht="15.75" thickBot="1" x14ac:dyDescent="0.3">
      <c r="A19" s="4">
        <v>9</v>
      </c>
      <c r="B19" s="6" t="s">
        <v>119</v>
      </c>
      <c r="C19" s="5" t="s">
        <v>14</v>
      </c>
      <c r="D19" s="5" t="s">
        <v>94</v>
      </c>
      <c r="E19" s="7">
        <v>2</v>
      </c>
      <c r="F19" s="19">
        <f>(1.53+1.7+1.87)/3</f>
        <v>1.7</v>
      </c>
      <c r="G19" s="19">
        <f>(1.44+2.3+3.1)/3</f>
        <v>2.2799999999999998</v>
      </c>
      <c r="H19" s="19">
        <f t="shared" si="0"/>
        <v>3.4</v>
      </c>
      <c r="I19" s="19">
        <f t="shared" si="1"/>
        <v>4.5599999999999996</v>
      </c>
    </row>
    <row r="20" spans="1:9" ht="15.75" thickBot="1" x14ac:dyDescent="0.3">
      <c r="A20" s="4">
        <v>10</v>
      </c>
      <c r="B20" s="6" t="s">
        <v>120</v>
      </c>
      <c r="C20" s="5" t="s">
        <v>57</v>
      </c>
      <c r="D20" s="5" t="s">
        <v>57</v>
      </c>
      <c r="E20" s="7">
        <v>3</v>
      </c>
      <c r="F20" s="19">
        <f>(0.9+1+1.1)/3</f>
        <v>1</v>
      </c>
      <c r="G20" s="19">
        <f>(0.9+1+1.1)/3</f>
        <v>1</v>
      </c>
      <c r="H20" s="19">
        <f t="shared" si="0"/>
        <v>3</v>
      </c>
      <c r="I20" s="19">
        <f t="shared" si="1"/>
        <v>3</v>
      </c>
    </row>
    <row r="21" spans="1:9" ht="15.75" thickBot="1" x14ac:dyDescent="0.3">
      <c r="A21" s="4">
        <v>11</v>
      </c>
      <c r="B21" s="6" t="s">
        <v>121</v>
      </c>
      <c r="C21" s="5" t="s">
        <v>39</v>
      </c>
      <c r="D21" s="5" t="s">
        <v>39</v>
      </c>
      <c r="E21" s="7">
        <v>1</v>
      </c>
      <c r="F21" s="19">
        <f>(0.45+0.5+0.55)/3</f>
        <v>0.5</v>
      </c>
      <c r="G21" s="19">
        <f>(0.45+0.5+0.55)/3</f>
        <v>0.5</v>
      </c>
      <c r="H21" s="19">
        <f t="shared" si="0"/>
        <v>0.5</v>
      </c>
      <c r="I21" s="19">
        <f t="shared" si="1"/>
        <v>0.5</v>
      </c>
    </row>
    <row r="22" spans="1:9" ht="15.75" thickBot="1" x14ac:dyDescent="0.3">
      <c r="A22" s="4">
        <v>11</v>
      </c>
      <c r="B22" s="6" t="s">
        <v>122</v>
      </c>
      <c r="C22" s="5" t="s">
        <v>29</v>
      </c>
      <c r="D22" s="5" t="s">
        <v>29</v>
      </c>
      <c r="E22" s="7">
        <v>3</v>
      </c>
      <c r="F22" s="19">
        <f>(1.71+1.9+2.09)/3</f>
        <v>1.8999999999999997</v>
      </c>
      <c r="G22" s="19">
        <f>(1.71+1.9+2.09)/3</f>
        <v>1.8999999999999997</v>
      </c>
      <c r="H22" s="19">
        <f t="shared" si="0"/>
        <v>5.6999999999999993</v>
      </c>
      <c r="I22" s="19">
        <f t="shared" si="1"/>
        <v>5.6999999999999993</v>
      </c>
    </row>
    <row r="23" spans="1:9" x14ac:dyDescent="0.25">
      <c r="F23" s="23">
        <f>SUM(F3:F22)</f>
        <v>90.586666666666673</v>
      </c>
      <c r="G23" s="23">
        <f>SUM(G3:G22)</f>
        <v>82.280000000000015</v>
      </c>
      <c r="H23" s="32">
        <f>SUM(H3:H22)</f>
        <v>299.11333333333329</v>
      </c>
      <c r="I23" s="32">
        <f>SUM(I3:I22)</f>
        <v>267.81333333333333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"/>
  <sheetViews>
    <sheetView zoomScale="134" workbookViewId="0">
      <selection activeCell="H1" sqref="H1:H2"/>
    </sheetView>
  </sheetViews>
  <sheetFormatPr baseColWidth="10" defaultColWidth="9.140625" defaultRowHeight="15" x14ac:dyDescent="0.25"/>
  <cols>
    <col min="2" max="2" width="28" bestFit="1" customWidth="1"/>
    <col min="3" max="4" width="30.7109375" bestFit="1" customWidth="1"/>
    <col min="5" max="5" width="10.42578125" bestFit="1" customWidth="1"/>
    <col min="8" max="9" width="16.28515625" customWidth="1"/>
  </cols>
  <sheetData>
    <row r="1" spans="1:9" x14ac:dyDescent="0.25">
      <c r="A1" s="12" t="s">
        <v>0</v>
      </c>
      <c r="B1" s="12" t="s">
        <v>1</v>
      </c>
      <c r="C1" s="2" t="s">
        <v>2</v>
      </c>
      <c r="D1" s="2" t="s">
        <v>2</v>
      </c>
      <c r="E1" s="2" t="s">
        <v>5</v>
      </c>
      <c r="F1" s="17" t="s">
        <v>137</v>
      </c>
      <c r="G1" s="17" t="s">
        <v>138</v>
      </c>
      <c r="H1" s="17" t="s">
        <v>152</v>
      </c>
      <c r="I1" s="17" t="s">
        <v>153</v>
      </c>
    </row>
    <row r="2" spans="1:9" ht="24.75" customHeight="1" thickBot="1" x14ac:dyDescent="0.3">
      <c r="A2" s="13"/>
      <c r="B2" s="13"/>
      <c r="C2" s="3" t="s">
        <v>3</v>
      </c>
      <c r="D2" s="3" t="s">
        <v>4</v>
      </c>
      <c r="E2" s="3" t="s">
        <v>6</v>
      </c>
      <c r="F2" s="17"/>
      <c r="G2" s="17"/>
      <c r="H2" s="17"/>
      <c r="I2" s="17"/>
    </row>
    <row r="3" spans="1:9" ht="15.75" thickBot="1" x14ac:dyDescent="0.3">
      <c r="A3" s="4">
        <v>1</v>
      </c>
      <c r="B3" s="6" t="s">
        <v>123</v>
      </c>
      <c r="C3" s="5" t="s">
        <v>8</v>
      </c>
      <c r="D3" s="5" t="s">
        <v>8</v>
      </c>
      <c r="E3" s="7">
        <v>2</v>
      </c>
      <c r="F3" s="19">
        <f>(1.98+2.2+2.42)/3</f>
        <v>2.1999999999999997</v>
      </c>
      <c r="G3" s="19">
        <f>(1.98+2.2+2.42)/3</f>
        <v>2.1999999999999997</v>
      </c>
      <c r="H3" s="19">
        <f>F3*E3</f>
        <v>4.3999999999999995</v>
      </c>
      <c r="I3" s="19">
        <f>G3*E3</f>
        <v>4.3999999999999995</v>
      </c>
    </row>
    <row r="4" spans="1:9" ht="15.75" thickBot="1" x14ac:dyDescent="0.3">
      <c r="A4" s="4">
        <v>1</v>
      </c>
      <c r="B4" s="6" t="s">
        <v>124</v>
      </c>
      <c r="C4" s="5" t="s">
        <v>8</v>
      </c>
      <c r="D4" s="5" t="s">
        <v>8</v>
      </c>
      <c r="E4" s="7">
        <v>3</v>
      </c>
      <c r="F4" s="19">
        <f>(1.98+2.2+2.42)/3</f>
        <v>2.1999999999999997</v>
      </c>
      <c r="G4" s="19">
        <f>(1.98+2.2+2.42)/3</f>
        <v>2.1999999999999997</v>
      </c>
      <c r="H4" s="19">
        <f t="shared" ref="H4:H7" si="0">F4*E4</f>
        <v>6.6</v>
      </c>
      <c r="I4" s="19">
        <f t="shared" ref="I4:I7" si="1">G4*E4</f>
        <v>6.6</v>
      </c>
    </row>
    <row r="5" spans="1:9" ht="15.75" thickBot="1" x14ac:dyDescent="0.3">
      <c r="A5" s="4">
        <v>2</v>
      </c>
      <c r="B5" s="6" t="s">
        <v>125</v>
      </c>
      <c r="C5" s="5" t="s">
        <v>11</v>
      </c>
      <c r="D5" s="5" t="s">
        <v>11</v>
      </c>
      <c r="E5" s="7">
        <v>2</v>
      </c>
      <c r="F5" s="19">
        <f>(2.07+2.3+2.53)/3</f>
        <v>2.2999999999999994</v>
      </c>
      <c r="G5" s="19">
        <f>(2.07+2.3+2.53)/3</f>
        <v>2.2999999999999994</v>
      </c>
      <c r="H5" s="19">
        <f t="shared" si="0"/>
        <v>4.5999999999999988</v>
      </c>
      <c r="I5" s="19">
        <f t="shared" si="1"/>
        <v>4.5999999999999988</v>
      </c>
    </row>
    <row r="6" spans="1:9" ht="15.75" thickBot="1" x14ac:dyDescent="0.3">
      <c r="A6" s="4">
        <v>2</v>
      </c>
      <c r="B6" s="6" t="s">
        <v>126</v>
      </c>
      <c r="C6" s="5" t="s">
        <v>127</v>
      </c>
      <c r="D6" s="5" t="s">
        <v>127</v>
      </c>
      <c r="E6" s="7">
        <v>2</v>
      </c>
      <c r="F6" s="19">
        <f>(2.25+2.5+2.75)/3</f>
        <v>2.5</v>
      </c>
      <c r="G6" s="19">
        <f>(2.25+2.5+2.75)/3</f>
        <v>2.5</v>
      </c>
      <c r="H6" s="19">
        <f t="shared" si="0"/>
        <v>5</v>
      </c>
      <c r="I6" s="19">
        <f t="shared" si="1"/>
        <v>5</v>
      </c>
    </row>
    <row r="7" spans="1:9" ht="15" customHeight="1" thickBot="1" x14ac:dyDescent="0.3">
      <c r="A7" s="4">
        <v>3</v>
      </c>
      <c r="B7" s="6" t="s">
        <v>128</v>
      </c>
      <c r="C7" s="5" t="s">
        <v>14</v>
      </c>
      <c r="D7" s="5" t="s">
        <v>14</v>
      </c>
      <c r="E7" s="7">
        <v>2</v>
      </c>
      <c r="F7" s="19">
        <f>(1.53+1.7+1.87)/3</f>
        <v>1.7</v>
      </c>
      <c r="G7" s="19">
        <f>(1.53+1.7+1.87)/3</f>
        <v>1.7</v>
      </c>
      <c r="H7" s="19">
        <f t="shared" si="0"/>
        <v>3.4</v>
      </c>
      <c r="I7" s="19">
        <f t="shared" si="1"/>
        <v>3.4</v>
      </c>
    </row>
    <row r="8" spans="1:9" x14ac:dyDescent="0.25">
      <c r="F8" s="23">
        <f>SUM(F3:F7)</f>
        <v>10.899999999999999</v>
      </c>
      <c r="G8" s="23">
        <f>SUM(G3:G7)</f>
        <v>10.899999999999999</v>
      </c>
      <c r="H8" s="23">
        <f>SUM(H3:H7)</f>
        <v>23.999999999999996</v>
      </c>
      <c r="I8" s="23">
        <f>SUM(I3:I7)</f>
        <v>23.999999999999996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BF008-BB3E-4CC7-A7EA-6413059DDDCB}">
  <dimension ref="A1:U15"/>
  <sheetViews>
    <sheetView tabSelected="1" workbookViewId="0">
      <selection activeCell="J15" sqref="J15"/>
    </sheetView>
  </sheetViews>
  <sheetFormatPr baseColWidth="10" defaultRowHeight="15" x14ac:dyDescent="0.25"/>
  <cols>
    <col min="1" max="1" width="12" customWidth="1"/>
    <col min="2" max="2" width="15.42578125" customWidth="1"/>
    <col min="3" max="3" width="15" customWidth="1"/>
  </cols>
  <sheetData>
    <row r="1" spans="1:21" ht="35.25" customHeight="1" x14ac:dyDescent="0.25">
      <c r="B1" s="26" t="s">
        <v>144</v>
      </c>
      <c r="C1" s="26" t="s">
        <v>145</v>
      </c>
      <c r="D1" s="26" t="s">
        <v>147</v>
      </c>
    </row>
    <row r="2" spans="1:21" ht="15.75" thickBot="1" x14ac:dyDescent="0.3">
      <c r="A2" s="15" t="s">
        <v>139</v>
      </c>
      <c r="B2" s="19">
        <v>94.333299999999994</v>
      </c>
      <c r="C2" s="19">
        <v>79.849999999999994</v>
      </c>
      <c r="D2" s="19">
        <f>SUM(B2:C2)</f>
        <v>174.18329999999997</v>
      </c>
      <c r="F2" t="s">
        <v>148</v>
      </c>
    </row>
    <row r="3" spans="1:21" ht="35.25" customHeight="1" thickBot="1" x14ac:dyDescent="0.3">
      <c r="A3" s="15" t="s">
        <v>140</v>
      </c>
      <c r="B3" s="19">
        <v>116.63330000000001</v>
      </c>
      <c r="C3" s="19">
        <v>116.6567</v>
      </c>
      <c r="D3" s="19">
        <f t="shared" ref="D3:D6" si="0">SUM(B3:C3)</f>
        <v>233.29000000000002</v>
      </c>
      <c r="F3" s="30" t="s">
        <v>150</v>
      </c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</row>
    <row r="4" spans="1:21" ht="15.75" thickBot="1" x14ac:dyDescent="0.3">
      <c r="A4" s="15" t="s">
        <v>141</v>
      </c>
      <c r="B4" s="19">
        <v>87.15</v>
      </c>
      <c r="C4" s="19">
        <v>90.633300000000006</v>
      </c>
      <c r="D4" s="19">
        <f t="shared" si="0"/>
        <v>177.7833</v>
      </c>
      <c r="F4" s="29">
        <v>779.92330000000004</v>
      </c>
    </row>
    <row r="5" spans="1:21" ht="15.75" thickBot="1" x14ac:dyDescent="0.3">
      <c r="A5" s="15" t="s">
        <v>142</v>
      </c>
      <c r="B5" s="19">
        <v>90.586699999999993</v>
      </c>
      <c r="C5" s="19">
        <v>82.28</v>
      </c>
      <c r="D5" s="19">
        <f t="shared" si="0"/>
        <v>172.86669999999998</v>
      </c>
    </row>
    <row r="6" spans="1:21" ht="15.75" thickBot="1" x14ac:dyDescent="0.3">
      <c r="A6" s="15" t="s">
        <v>143</v>
      </c>
      <c r="B6" s="19">
        <v>10.9</v>
      </c>
      <c r="C6" s="19">
        <v>10.9</v>
      </c>
      <c r="D6" s="19">
        <f t="shared" si="0"/>
        <v>21.8</v>
      </c>
      <c r="F6" t="s">
        <v>149</v>
      </c>
    </row>
    <row r="7" spans="1:21" x14ac:dyDescent="0.25">
      <c r="A7" s="27" t="s">
        <v>146</v>
      </c>
      <c r="B7" s="19">
        <f>SUM(B2:B6)</f>
        <v>399.60329999999999</v>
      </c>
      <c r="C7" s="19">
        <f>SUM(C2:C6)</f>
        <v>380.31999999999994</v>
      </c>
      <c r="D7" s="31">
        <f>SUM(B7:C7)</f>
        <v>779.92329999999993</v>
      </c>
      <c r="F7" t="s">
        <v>151</v>
      </c>
    </row>
    <row r="8" spans="1:21" x14ac:dyDescent="0.25">
      <c r="D8" s="28"/>
      <c r="F8" s="29">
        <v>2185.3833</v>
      </c>
    </row>
    <row r="9" spans="1:21" ht="44.25" customHeight="1" x14ac:dyDescent="0.25">
      <c r="B9" s="26" t="s">
        <v>152</v>
      </c>
      <c r="C9" s="26" t="s">
        <v>153</v>
      </c>
      <c r="D9" s="26" t="s">
        <v>147</v>
      </c>
    </row>
    <row r="10" spans="1:21" ht="15.75" thickBot="1" x14ac:dyDescent="0.3">
      <c r="A10" s="15" t="s">
        <v>139</v>
      </c>
      <c r="B10" s="19">
        <v>254.7</v>
      </c>
      <c r="C10" s="19">
        <v>214.16669999999999</v>
      </c>
      <c r="D10" s="19">
        <f>SUM(B10:C10)</f>
        <v>468.86669999999998</v>
      </c>
    </row>
    <row r="11" spans="1:21" ht="15.75" thickBot="1" x14ac:dyDescent="0.3">
      <c r="A11" s="15" t="s">
        <v>140</v>
      </c>
      <c r="B11" s="19">
        <v>324.13330000000002</v>
      </c>
      <c r="C11" s="19">
        <v>323.98</v>
      </c>
      <c r="D11" s="19">
        <f t="shared" ref="D11:D14" si="1">SUM(B11:C11)</f>
        <v>648.11329999999998</v>
      </c>
    </row>
    <row r="12" spans="1:21" ht="15.75" thickBot="1" x14ac:dyDescent="0.3">
      <c r="A12" s="15" t="s">
        <v>141</v>
      </c>
      <c r="B12" s="19">
        <v>224.35</v>
      </c>
      <c r="C12" s="19">
        <v>229.1267</v>
      </c>
      <c r="D12" s="19">
        <f t="shared" si="1"/>
        <v>453.47669999999999</v>
      </c>
    </row>
    <row r="13" spans="1:21" ht="15.75" thickBot="1" x14ac:dyDescent="0.3">
      <c r="A13" s="15" t="s">
        <v>142</v>
      </c>
      <c r="B13" s="19">
        <v>299.11329999999998</v>
      </c>
      <c r="C13" s="19">
        <v>267.81330000000003</v>
      </c>
      <c r="D13" s="19">
        <f t="shared" si="1"/>
        <v>566.92660000000001</v>
      </c>
    </row>
    <row r="14" spans="1:21" ht="15.75" thickBot="1" x14ac:dyDescent="0.3">
      <c r="A14" s="15" t="s">
        <v>143</v>
      </c>
      <c r="B14" s="19">
        <v>24</v>
      </c>
      <c r="C14" s="19">
        <v>24</v>
      </c>
      <c r="D14" s="19">
        <f t="shared" si="1"/>
        <v>48</v>
      </c>
    </row>
    <row r="15" spans="1:21" x14ac:dyDescent="0.25">
      <c r="A15" s="27" t="s">
        <v>146</v>
      </c>
      <c r="B15" s="19">
        <f>SUM(B10:B14)</f>
        <v>1126.2966000000001</v>
      </c>
      <c r="C15" s="19">
        <f>SUM(C10:C14)</f>
        <v>1059.0867000000001</v>
      </c>
      <c r="D15" s="31">
        <f>SUM(B15:C15)</f>
        <v>2185.3833000000004</v>
      </c>
    </row>
  </sheetData>
  <mergeCells count="1">
    <mergeCell ref="F3:U3"/>
  </mergeCells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df6117c-a412-4ef6-a058-afdad4ce2251" xsi:nil="true"/>
    <UploadedtoCDN xmlns="a9675426-1f15-4d94-9594-9a789ad30f9e" xsi:nil="true"/>
    <lcf76f155ced4ddcb4097134ff3c332f xmlns="a9675426-1f15-4d94-9594-9a789ad30f9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637B457F282D42972A425B55D4D803" ma:contentTypeVersion="19" ma:contentTypeDescription="Create a new document." ma:contentTypeScope="" ma:versionID="2eefae4929bb12572ae512d095bdd42f">
  <xsd:schema xmlns:xsd="http://www.w3.org/2001/XMLSchema" xmlns:xs="http://www.w3.org/2001/XMLSchema" xmlns:p="http://schemas.microsoft.com/office/2006/metadata/properties" xmlns:ns2="a9675426-1f15-4d94-9594-9a789ad30f9e" xmlns:ns3="3df6117c-a412-4ef6-a058-afdad4ce2251" targetNamespace="http://schemas.microsoft.com/office/2006/metadata/properties" ma:root="true" ma:fieldsID="a45fe1effa60a4ed380b3fc11a6b39fd" ns2:_="" ns3:_="">
    <xsd:import namespace="a9675426-1f15-4d94-9594-9a789ad30f9e"/>
    <xsd:import namespace="3df6117c-a412-4ef6-a058-afdad4ce22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UploadedtoCD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675426-1f15-4d94-9594-9a789ad30f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2150de2-4eaa-4d06-9ea3-fdedf8aad9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UploadedtoCDN" ma:index="26" nillable="true" ma:displayName="Uploaded to CDN" ma:format="DateOnly" ma:internalName="UploadedtoCDN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f6117c-a412-4ef6-a058-afdad4ce225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8ec869f-21dd-4664-99ca-93373b21d20a}" ma:internalName="TaxCatchAll" ma:showField="CatchAllData" ma:web="3df6117c-a412-4ef6-a058-afdad4ce22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53E958-FBF8-4F7E-A50D-107435268B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AB668B5-EF7F-4B79-B510-57DF485671ED}">
  <ds:schemaRefs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a9675426-1f15-4d94-9594-9a789ad30f9e"/>
    <ds:schemaRef ds:uri="http://purl.org/dc/elements/1.1/"/>
    <ds:schemaRef ds:uri="http://www.w3.org/XML/1998/namespace"/>
    <ds:schemaRef ds:uri="3df6117c-a412-4ef6-a058-afdad4ce2251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5E8E293-2D54-49E3-B188-862CEC629D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675426-1f15-4d94-9594-9a789ad30f9e"/>
    <ds:schemaRef ds:uri="3df6117c-a412-4ef6-a058-afdad4ce22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WorkCell1</vt:lpstr>
      <vt:lpstr>WorkCell2</vt:lpstr>
      <vt:lpstr>WorkCell3</vt:lpstr>
      <vt:lpstr>WorkCell4</vt:lpstr>
      <vt:lpstr>WorkCell5</vt:lpstr>
      <vt:lpstr>Total WorkCell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Renee Thiesing</dc:creator>
  <cp:lastModifiedBy>USUARIO</cp:lastModifiedBy>
  <dcterms:created xsi:type="dcterms:W3CDTF">2016-02-15T14:49:07Z</dcterms:created>
  <dcterms:modified xsi:type="dcterms:W3CDTF">2026-08-12T19:51:36Z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0x010100BD637B457F282D42972A425B55D4D803</vt:lpwstr>
  </property>
</Properties>
</file>