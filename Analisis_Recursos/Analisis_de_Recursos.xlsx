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iego\OneDrive\Desktop\Diego\USAC\9noSemestre\Modela\Proyecto\MYS2_Grupo2\Analisis_Recursos\"/>
    </mc:Choice>
  </mc:AlternateContent>
  <xr:revisionPtr revIDLastSave="0" documentId="13_ncr:1_{894DD08A-B5DA-4136-BF93-A4881AC4AD68}" xr6:coauthVersionLast="47" xr6:coauthVersionMax="47" xr10:uidLastSave="{00000000-0000-0000-0000-000000000000}"/>
  <bookViews>
    <workbookView xWindow="28680" yWindow="-120" windowWidth="29040" windowHeight="15720" tabRatio="500" xr2:uid="{00000000-000D-0000-FFFF-FFFF00000000}"/>
  </bookViews>
  <sheets>
    <sheet name="Resumen" sheetId="1" r:id="rId1"/>
    <sheet name="WorkCell1" sheetId="2" r:id="rId2"/>
    <sheet name="WorkCell2" sheetId="3" r:id="rId3"/>
    <sheet name="WorkCell3" sheetId="4" r:id="rId4"/>
    <sheet name="WorkCell4" sheetId="5" r:id="rId5"/>
    <sheet name="WorkCell5" sheetId="6" r:id="rId6"/>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4" i="2" l="1"/>
  <c r="F4" i="2" s="1"/>
  <c r="E8" i="6"/>
  <c r="F8" i="6" s="1"/>
  <c r="D8" i="6"/>
  <c r="E7" i="6"/>
  <c r="F7" i="6" s="1"/>
  <c r="D7" i="6"/>
  <c r="E6" i="6"/>
  <c r="F6" i="6" s="1"/>
  <c r="D6" i="6"/>
  <c r="E5" i="6"/>
  <c r="F5" i="6" s="1"/>
  <c r="D5" i="6"/>
  <c r="E4" i="6"/>
  <c r="F4" i="6" s="1"/>
  <c r="D4" i="6"/>
  <c r="E23" i="5"/>
  <c r="F23" i="5" s="1"/>
  <c r="D23" i="5"/>
  <c r="E22" i="5"/>
  <c r="F22" i="5" s="1"/>
  <c r="D22" i="5"/>
  <c r="E21" i="5"/>
  <c r="F21" i="5" s="1"/>
  <c r="D21" i="5"/>
  <c r="E20" i="5"/>
  <c r="F20" i="5" s="1"/>
  <c r="D20" i="5"/>
  <c r="E19" i="5"/>
  <c r="F19" i="5" s="1"/>
  <c r="D19" i="5"/>
  <c r="E18" i="5"/>
  <c r="F18" i="5" s="1"/>
  <c r="D18" i="5"/>
  <c r="E17" i="5"/>
  <c r="F17" i="5" s="1"/>
  <c r="D17" i="5"/>
  <c r="E16" i="5"/>
  <c r="F16" i="5" s="1"/>
  <c r="D16" i="5"/>
  <c r="E15" i="5"/>
  <c r="F15" i="5" s="1"/>
  <c r="D15" i="5"/>
  <c r="E14" i="5"/>
  <c r="F14" i="5" s="1"/>
  <c r="D14" i="5"/>
  <c r="E13" i="5"/>
  <c r="F13" i="5" s="1"/>
  <c r="D13" i="5"/>
  <c r="E12" i="5"/>
  <c r="F12" i="5" s="1"/>
  <c r="D12" i="5"/>
  <c r="E11" i="5"/>
  <c r="F11" i="5" s="1"/>
  <c r="D11" i="5"/>
  <c r="E10" i="5"/>
  <c r="F10" i="5" s="1"/>
  <c r="D10" i="5"/>
  <c r="E9" i="5"/>
  <c r="F9" i="5" s="1"/>
  <c r="D9" i="5"/>
  <c r="E8" i="5"/>
  <c r="F8" i="5" s="1"/>
  <c r="D8" i="5"/>
  <c r="E7" i="5"/>
  <c r="F7" i="5" s="1"/>
  <c r="D7" i="5"/>
  <c r="E6" i="5"/>
  <c r="F6" i="5" s="1"/>
  <c r="D6" i="5"/>
  <c r="E5" i="5"/>
  <c r="F5" i="5" s="1"/>
  <c r="D5" i="5"/>
  <c r="E4" i="5"/>
  <c r="F4" i="5" s="1"/>
  <c r="D4" i="5"/>
  <c r="E22" i="4"/>
  <c r="F22" i="4" s="1"/>
  <c r="D22" i="4"/>
  <c r="E21" i="4"/>
  <c r="F21" i="4" s="1"/>
  <c r="D21" i="4"/>
  <c r="E20" i="4"/>
  <c r="F20" i="4" s="1"/>
  <c r="D20" i="4"/>
  <c r="E19" i="4"/>
  <c r="F19" i="4" s="1"/>
  <c r="D19" i="4"/>
  <c r="E18" i="4"/>
  <c r="F18" i="4" s="1"/>
  <c r="D18" i="4"/>
  <c r="E17" i="4"/>
  <c r="F17" i="4" s="1"/>
  <c r="D17" i="4"/>
  <c r="E16" i="4"/>
  <c r="F16" i="4" s="1"/>
  <c r="D16" i="4"/>
  <c r="E15" i="4"/>
  <c r="F15" i="4" s="1"/>
  <c r="D15" i="4"/>
  <c r="E14" i="4"/>
  <c r="F14" i="4" s="1"/>
  <c r="D14" i="4"/>
  <c r="E13" i="4"/>
  <c r="F13" i="4" s="1"/>
  <c r="D13" i="4"/>
  <c r="F12" i="4"/>
  <c r="E12" i="4"/>
  <c r="D12" i="4"/>
  <c r="E11" i="4"/>
  <c r="F11" i="4" s="1"/>
  <c r="D11" i="4"/>
  <c r="E10" i="4"/>
  <c r="F10" i="4" s="1"/>
  <c r="D10" i="4"/>
  <c r="E9" i="4"/>
  <c r="F9" i="4" s="1"/>
  <c r="D9" i="4"/>
  <c r="E8" i="4"/>
  <c r="F8" i="4" s="1"/>
  <c r="D8" i="4"/>
  <c r="E7" i="4"/>
  <c r="F7" i="4" s="1"/>
  <c r="D7" i="4"/>
  <c r="E6" i="4"/>
  <c r="F6" i="4" s="1"/>
  <c r="D6" i="4"/>
  <c r="E5" i="4"/>
  <c r="F5" i="4" s="1"/>
  <c r="D5" i="4"/>
  <c r="E4" i="4"/>
  <c r="F4" i="4" s="1"/>
  <c r="D4" i="4"/>
  <c r="E23" i="3"/>
  <c r="F23" i="3" s="1"/>
  <c r="D23" i="3"/>
  <c r="E22" i="3"/>
  <c r="F22" i="3" s="1"/>
  <c r="D22" i="3"/>
  <c r="E21" i="3"/>
  <c r="F21" i="3" s="1"/>
  <c r="D21" i="3"/>
  <c r="E20" i="3"/>
  <c r="F20" i="3" s="1"/>
  <c r="D20" i="3"/>
  <c r="E19" i="3"/>
  <c r="F19" i="3" s="1"/>
  <c r="D19" i="3"/>
  <c r="E18" i="3"/>
  <c r="F18" i="3" s="1"/>
  <c r="D18" i="3"/>
  <c r="E17" i="3"/>
  <c r="F17" i="3" s="1"/>
  <c r="D17" i="3"/>
  <c r="E16" i="3"/>
  <c r="F16" i="3" s="1"/>
  <c r="D16" i="3"/>
  <c r="E15" i="3"/>
  <c r="F15" i="3" s="1"/>
  <c r="D15" i="3"/>
  <c r="F14" i="3"/>
  <c r="E14" i="3"/>
  <c r="D14" i="3"/>
  <c r="E13" i="3"/>
  <c r="F13" i="3" s="1"/>
  <c r="D13" i="3"/>
  <c r="E12" i="3"/>
  <c r="F12" i="3" s="1"/>
  <c r="D12" i="3"/>
  <c r="E11" i="3"/>
  <c r="F11" i="3" s="1"/>
  <c r="D11" i="3"/>
  <c r="E10" i="3"/>
  <c r="F10" i="3" s="1"/>
  <c r="D10" i="3"/>
  <c r="E9" i="3"/>
  <c r="F9" i="3" s="1"/>
  <c r="D9" i="3"/>
  <c r="E8" i="3"/>
  <c r="F8" i="3" s="1"/>
  <c r="D8" i="3"/>
  <c r="E7" i="3"/>
  <c r="F7" i="3" s="1"/>
  <c r="D7" i="3"/>
  <c r="E6" i="3"/>
  <c r="F6" i="3" s="1"/>
  <c r="D6" i="3"/>
  <c r="E5" i="3"/>
  <c r="F5" i="3" s="1"/>
  <c r="D5" i="3"/>
  <c r="E4" i="3"/>
  <c r="F4" i="3" s="1"/>
  <c r="D4" i="3"/>
  <c r="E22" i="2"/>
  <c r="F22" i="2" s="1"/>
  <c r="D22" i="2"/>
  <c r="E21" i="2"/>
  <c r="F21" i="2" s="1"/>
  <c r="D21" i="2"/>
  <c r="E20" i="2"/>
  <c r="F20" i="2" s="1"/>
  <c r="D20" i="2"/>
  <c r="E19" i="2"/>
  <c r="F19" i="2" s="1"/>
  <c r="D19" i="2"/>
  <c r="E18" i="2"/>
  <c r="F18" i="2" s="1"/>
  <c r="D18" i="2"/>
  <c r="E17" i="2"/>
  <c r="F17" i="2" s="1"/>
  <c r="D17" i="2"/>
  <c r="E16" i="2"/>
  <c r="F16" i="2" s="1"/>
  <c r="D16" i="2"/>
  <c r="E15" i="2"/>
  <c r="F15" i="2" s="1"/>
  <c r="D15" i="2"/>
  <c r="E14" i="2"/>
  <c r="F14" i="2" s="1"/>
  <c r="D14" i="2"/>
  <c r="E13" i="2"/>
  <c r="F13" i="2" s="1"/>
  <c r="D13" i="2"/>
  <c r="E12" i="2"/>
  <c r="F12" i="2" s="1"/>
  <c r="D12" i="2"/>
  <c r="E11" i="2"/>
  <c r="F11" i="2" s="1"/>
  <c r="D11" i="2"/>
  <c r="E10" i="2"/>
  <c r="F10" i="2" s="1"/>
  <c r="D10" i="2"/>
  <c r="E9" i="2"/>
  <c r="F9" i="2" s="1"/>
  <c r="D9" i="2"/>
  <c r="E8" i="2"/>
  <c r="F8" i="2" s="1"/>
  <c r="D8" i="2"/>
  <c r="E7" i="2"/>
  <c r="F7" i="2" s="1"/>
  <c r="D7" i="2"/>
  <c r="E6" i="2"/>
  <c r="F6" i="2" s="1"/>
  <c r="D6" i="2"/>
  <c r="E5" i="2"/>
  <c r="F5" i="2" s="1"/>
  <c r="D5" i="2"/>
  <c r="D4" i="2"/>
  <c r="F14" i="1"/>
  <c r="E14" i="1"/>
  <c r="D14" i="1"/>
  <c r="C14" i="1"/>
  <c r="B14" i="1"/>
  <c r="G14" i="1" s="1"/>
  <c r="F13" i="1"/>
  <c r="E13" i="1"/>
  <c r="D13" i="1"/>
  <c r="C13" i="1"/>
  <c r="B13" i="1"/>
  <c r="G13" i="1" s="1"/>
  <c r="F12" i="1"/>
  <c r="E12" i="1"/>
  <c r="D12" i="1"/>
  <c r="C12" i="1"/>
  <c r="B12" i="1"/>
  <c r="G12" i="1" s="1"/>
  <c r="F11" i="1"/>
  <c r="E11" i="1"/>
  <c r="D11" i="1"/>
  <c r="C11" i="1"/>
  <c r="B11" i="1"/>
  <c r="G11" i="1" s="1"/>
  <c r="F10" i="1"/>
  <c r="E10" i="1"/>
  <c r="D10" i="1"/>
  <c r="C10" i="1"/>
  <c r="B10" i="1"/>
  <c r="G10" i="1" s="1"/>
  <c r="F9" i="1"/>
  <c r="E9" i="1"/>
  <c r="D9" i="1"/>
  <c r="C9" i="1"/>
  <c r="B9" i="1"/>
  <c r="G9" i="1" s="1"/>
  <c r="F8" i="1"/>
  <c r="E8" i="1"/>
  <c r="D8" i="1"/>
  <c r="C8" i="1"/>
  <c r="B8" i="1"/>
  <c r="G8" i="1" s="1"/>
  <c r="F7" i="1"/>
  <c r="E7" i="1"/>
  <c r="D7" i="1"/>
  <c r="C7" i="1"/>
  <c r="B7" i="1"/>
  <c r="G7" i="1" s="1"/>
  <c r="F6" i="1"/>
  <c r="E6" i="1"/>
  <c r="D6" i="1"/>
  <c r="C6" i="1"/>
  <c r="B6" i="1"/>
  <c r="G6" i="1" s="1"/>
  <c r="F5" i="1"/>
  <c r="E5" i="1"/>
  <c r="D5" i="1"/>
  <c r="C5" i="1"/>
  <c r="B5" i="1"/>
  <c r="G5" i="1" s="1"/>
  <c r="F4" i="1"/>
  <c r="F15" i="1" s="1"/>
  <c r="E4" i="1"/>
  <c r="E15" i="1" s="1"/>
  <c r="D4" i="1"/>
  <c r="D15" i="1" s="1"/>
  <c r="C4" i="1"/>
  <c r="C15" i="1" s="1"/>
  <c r="B4" i="1"/>
  <c r="B15" i="1" l="1"/>
  <c r="G4" i="1"/>
</calcChain>
</file>

<file path=xl/sharedStrings.xml><?xml version="1.0" encoding="utf-8"?>
<sst xmlns="http://schemas.openxmlformats.org/spreadsheetml/2006/main" count="136" uniqueCount="100">
  <si>
    <t>Resumen — Demanda de mecánicos simultáneos por número de secuencia y celda de trabajo</t>
  </si>
  <si>
    <t>Cada valor es la suma de mecánicos requeridos por las tareas que comparten número de secuencia (ejecución en paralelo) dentro de esa celda. Capacidad disponible: 8 mecánicos por turno y por celda. Celdas en rojo = la secuencia exige más mecánicos de los disponibles (posible restricción de capacidad / cuello de botella candidato).</t>
  </si>
  <si>
    <t>Núm. de secuencia</t>
  </si>
  <si>
    <t>Celda 1</t>
  </si>
  <si>
    <t>Celda 2</t>
  </si>
  <si>
    <t>Celda 3</t>
  </si>
  <si>
    <t>Celda 4</t>
  </si>
  <si>
    <t>Celda 5</t>
  </si>
  <si>
    <t>Pico máximo</t>
  </si>
  <si>
    <t>Capacidad (8)</t>
  </si>
  <si>
    <t>Pico general de la celda</t>
  </si>
  <si>
    <t>Celda de trabajo 1 — Demanda de mecánicos por tarea y por número de secuencia</t>
  </si>
  <si>
    <t>Fuente: Simio Aerospace Data.xlsx, hoja WorkCell1.  Capacidad disponible: 8 mecánicos por turno.  Supuesto: las tareas con el mismo número de secuencia se ejecutan en paralelo, por lo que requieren mecánicos de forma simultánea.</t>
  </si>
  <si>
    <t>Tarea</t>
  </si>
  <si>
    <t>Mecánicos requeridos (tarea)</t>
  </si>
  <si>
    <t>Tareas en paralelo (misma secuencia)</t>
  </si>
  <si>
    <t>Mecánicos totales requeridos en la secuencia (paralelo)</t>
  </si>
  <si>
    <t>¿Excede capacidad de turno (8 mecánicos)?</t>
  </si>
  <si>
    <t>T-Clips to assembly</t>
  </si>
  <si>
    <t>Upper Web</t>
  </si>
  <si>
    <t>Upper TV Chord Assembly</t>
  </si>
  <si>
    <t>Tv-Guide Fittings</t>
  </si>
  <si>
    <t>T-Clips indexed</t>
  </si>
  <si>
    <t>Guide Splice Operation</t>
  </si>
  <si>
    <t>CRES Splices to the upper chord</t>
  </si>
  <si>
    <t>Load drill bars</t>
  </si>
  <si>
    <t>Drill holes to Upper T-Chord Assembly</t>
  </si>
  <si>
    <t>Drill holes to Guide Fittings</t>
  </si>
  <si>
    <t>Remove Drill bars</t>
  </si>
  <si>
    <t>Temp fastener</t>
  </si>
  <si>
    <t>Drill  holes into the Guide fittings</t>
  </si>
  <si>
    <t>Straps into Guide Fittings</t>
  </si>
  <si>
    <t>Disassemble and Deburr Chord</t>
  </si>
  <si>
    <t>Fillet Relef Bulkhead</t>
  </si>
  <si>
    <t>Countersink hole locations in Guide Fittings</t>
  </si>
  <si>
    <t>Inspect Holes</t>
  </si>
  <si>
    <t>Clean</t>
  </si>
  <si>
    <t>Celda de trabajo 2 — Demanda de mecánicos por tarea y por número de secuencia</t>
  </si>
  <si>
    <t>Fuente: Simio Aerospace Data.xlsx, hoja WorkCell2.  Capacidad disponible: 8 mecánicos por turno.  Supuesto: las tareas con el mismo número de secuencia se ejecutan en paralelo, por lo que requieren mecánicos de forma simultánea.</t>
  </si>
  <si>
    <t>LH BULKHEAD ASSY</t>
  </si>
  <si>
    <t>Operator turn table and rotate to position</t>
  </si>
  <si>
    <t>Scanner</t>
  </si>
  <si>
    <t>TV-CHORD ASSY RH and close clamps</t>
  </si>
  <si>
    <t>RH BULKHEAD ASSY</t>
  </si>
  <si>
    <t>Scan twice</t>
  </si>
  <si>
    <t>Position upper subassembly</t>
  </si>
  <si>
    <t>Rotate table</t>
  </si>
  <si>
    <t>Scan</t>
  </si>
  <si>
    <t>Drill Pilot hole</t>
  </si>
  <si>
    <t>Locate Fire Shield splice</t>
  </si>
  <si>
    <t>Install Tack Fastener</t>
  </si>
  <si>
    <t>LH Chords</t>
  </si>
  <si>
    <t>Measure gap</t>
  </si>
  <si>
    <t>LWR BULKHEAD ASSY</t>
  </si>
  <si>
    <t>Drill LH and RH holes</t>
  </si>
  <si>
    <t>Celda de trabajo 3 — Demanda de mecánicos por tarea y por número de secuencia</t>
  </si>
  <si>
    <t>Fuente: Simio Aerospace Data.xlsx, hoja WorkCell3.  Capacidad disponible: 8 mecánicos por turno.  Supuesto: las tareas con el mismo número de secuencia se ejecutan en paralelo, por lo que requieren mecánicos de forma simultánea.</t>
  </si>
  <si>
    <t>Stack light turns Green</t>
  </si>
  <si>
    <t>Attach clips wing set RH</t>
  </si>
  <si>
    <t>Attach clips wing set LH</t>
  </si>
  <si>
    <t>Splice the LWR/RH Chords</t>
  </si>
  <si>
    <t>Tools dump Zone 2 Clamps</t>
  </si>
  <si>
    <t>Robot Syncing</t>
  </si>
  <si>
    <t>Drill 8 holes</t>
  </si>
  <si>
    <t>Tool dump Zone 4 Clamps</t>
  </si>
  <si>
    <t>Tool dump Zone 6 Clamps</t>
  </si>
  <si>
    <t>Drill 10 holes</t>
  </si>
  <si>
    <t>Tool dump Zone 8 Clamps</t>
  </si>
  <si>
    <t>Tool dump Zone 10 Clamps</t>
  </si>
  <si>
    <t>Celda de trabajo 4 — Demanda de mecánicos por tarea y por número de secuencia</t>
  </si>
  <si>
    <t>Fuente: Simio Aerospace Data.xlsx, hoja WorkCell4.  Capacidad disponible: 8 mecánicos por turno.  Supuesto: las tareas con el mismo número de secuencia se ejecutan en paralelo, por lo que requieren mecánicos de forma simultánea.</t>
  </si>
  <si>
    <t>Operator Unloads</t>
  </si>
  <si>
    <t>Get inner assembly</t>
  </si>
  <si>
    <t>Close Inner Barrel Clamps</t>
  </si>
  <si>
    <t>Open Lift assist clamps</t>
  </si>
  <si>
    <t>Locate Aft Bulkhead Assy</t>
  </si>
  <si>
    <t>Close Manual clamps</t>
  </si>
  <si>
    <t>Locate &amp; close clip</t>
  </si>
  <si>
    <t>Drill Bulkhead to Inner Angle</t>
  </si>
  <si>
    <t>Open DJ clps</t>
  </si>
  <si>
    <t>Remove DJ</t>
  </si>
  <si>
    <t>Open manual clamps</t>
  </si>
  <si>
    <t>Remove BLKD assys</t>
  </si>
  <si>
    <t>Opens inner barrel</t>
  </si>
  <si>
    <t>Deburr AFT BLKD</t>
  </si>
  <si>
    <t>Inspection of Holes</t>
  </si>
  <si>
    <t>Attach MHE</t>
  </si>
  <si>
    <t>Press button</t>
  </si>
  <si>
    <t>Close clamps</t>
  </si>
  <si>
    <t>Unload inner barrel</t>
  </si>
  <si>
    <t>Move inner barrel</t>
  </si>
  <si>
    <t>Celda de trabajo 5 — Demanda de mecánicos por tarea y por número de secuencia</t>
  </si>
  <si>
    <t>Fuente: Simio Aerospace Data.xlsx, hoja WorkCell5.  Capacidad disponible: 8 mecánicos por turno.  Supuesto: las tareas con el mismo número de secuencia se ejecutan en paralelo, por lo que requieren mecánicos de forma simultánea.</t>
  </si>
  <si>
    <t>Robot moves to position 1</t>
  </si>
  <si>
    <t>Turntable rotates</t>
  </si>
  <si>
    <t>Robot moves to its target position</t>
  </si>
  <si>
    <t>Perform local drill</t>
  </si>
  <si>
    <t>Secure final fastener</t>
  </si>
  <si>
    <t>Conclusión — Demanda de mecánicos por secuencia</t>
  </si>
  <si>
    <t>El análisis de la demanda de mecánicos por tarea y por número de secuencia muestra que, bajo los tiempos de trabajo esperados, ninguna celda supera la disponibilidad de 8 mecánicos por turno, por lo que la dotación actual parece adecuada para el pico de trabajo en paralelo.
La Celda 4 es la más ajustada del sistema: en la secuencia 3 exige exactamente 8 mecánicos simultáneos, es decir, el 100% de la capacidad disponible, sin ningún margen. Esto la convierte en la candidata más fuerte a restricción de capacidad; cualquier variación al alza en los tiempos de tarea, o la incorporación futura del SA103, podría llevarla por encima del límite disponible. Se recomienda validar este punto de forma prioritaria en la simulación de la Fase 2.
Las Celdas 1, 2 y 3 muestran un comportamiento similar entre sí, con picos de 7 mecánicos simultáneos (87.5% de la capacidad) en varias de sus secuencias. Esto indica una carga de mano de obra ajustada pero manejable, con un margen de apenas un mecánico.
La Celda 5 se comporta de forma distinta a las demás: cuenta con solo 5 tareas distribuidas en 3 números de secuencia, frente a las 19-20 tareas y 11 secuencias del resto de las celdas, y su pico de demanda es de apenas 5 mecánicos (62.5% de la capacidad). Esto sugiere que la Celda 5 completará su alcance de trabajo antes de que finalice el tiempo de ciclo fijo, por lo que es más probable que enfrente periodos de espera o inactividad que una restricción real de mano de obra.
En conjunto, la mano de obra no parece ser la restricción dominante del sistema. El verdadero cuello de botella probablemente provendrá de la relación entre el tiempo de ciclo fijo de 4 días y la duración acumulada de las tareas en cada celda, más que de la cantidad de mecánicos disponibles. Esta hipótesis deberá confirmarse con el modelo funcional que se construirá en Simio durante la Fase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</si>
</sst>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0"/>
      <name val="Arial"/>
      <charset val="1"/>
    </font>
    <font>
      <sz val="10"/>
      <name val="Arial"/>
      <charset val="1"/>
    </font>
    <font>
      <sz val="9"/>
      <name val="Arial"/>
      <family val="2"/>
    </font>
    <font>
      <b/>
      <sz val="13"/>
      <name val="Arial"/>
      <family val="2"/>
    </font>
    <font>
      <b/>
      <sz val="11"/>
      <color theme="1"/>
      <name val="Calibri"/>
      <family val="2"/>
    </font>
  </fonts>
  <fills count="3">
    <fill>
      <patternFill patternType="none"/>
    </fill>
    <fill>
      <patternFill patternType="gray125"/>
    </fill>
    <fill>
      <patternFill patternType="solid">
        <fgColor rgb="FFD9E1F2"/>
        <bgColor rgb="FFD9D9D9"/>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s>
  <cellStyleXfs count="1">
    <xf numFmtId="0" fontId="0" fillId="0" borderId="0"/>
  </cellStyleXfs>
  <cellXfs count="60">
    <xf numFmtId="0" fontId="0" fillId="0" borderId="0" xfId="0"/>
    <xf numFmtId="0" fontId="2" fillId="0" borderId="1" xfId="0" applyFont="1" applyBorder="1" applyAlignment="1">
      <alignment horizontal="center"/>
    </xf>
    <xf numFmtId="0" fontId="2"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1" fillId="2" borderId="2"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0" borderId="16" xfId="0" applyFont="1" applyBorder="1" applyAlignment="1">
      <alignment horizontal="center"/>
    </xf>
    <xf numFmtId="0" fontId="1" fillId="0" borderId="17" xfId="0" applyFont="1" applyBorder="1" applyAlignment="1">
      <alignment horizontal="center"/>
    </xf>
    <xf numFmtId="0" fontId="0" fillId="0" borderId="1"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 fillId="0" borderId="3"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xf numFmtId="0" fontId="1" fillId="2" borderId="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2" fillId="0" borderId="23" xfId="0" applyFont="1" applyBorder="1" applyAlignment="1">
      <alignment horizontal="center"/>
    </xf>
    <xf numFmtId="0" fontId="2" fillId="0" borderId="20" xfId="0" applyFont="1" applyBorder="1" applyAlignment="1">
      <alignment horizontal="center"/>
    </xf>
    <xf numFmtId="0" fontId="2" fillId="0" borderId="24" xfId="0" applyFont="1" applyBorder="1"/>
    <xf numFmtId="0" fontId="2" fillId="0" borderId="21" xfId="0" applyFont="1" applyBorder="1" applyAlignment="1">
      <alignment horizontal="center"/>
    </xf>
    <xf numFmtId="0" fontId="2" fillId="0" borderId="22" xfId="0" applyFont="1" applyBorder="1" applyAlignment="1">
      <alignment horizontal="center"/>
    </xf>
    <xf numFmtId="0" fontId="4" fillId="0" borderId="12" xfId="0" applyFont="1" applyFill="1" applyBorder="1" applyAlignment="1">
      <alignment horizontal="left" vertical="center"/>
    </xf>
    <xf numFmtId="0" fontId="4" fillId="0" borderId="13" xfId="0" applyFont="1" applyFill="1" applyBorder="1" applyAlignment="1">
      <alignment horizontal="left" vertical="center"/>
    </xf>
    <xf numFmtId="0" fontId="4" fillId="0" borderId="14" xfId="0" applyFont="1" applyFill="1" applyBorder="1" applyAlignment="1">
      <alignment horizontal="left" vertical="center"/>
    </xf>
    <xf numFmtId="0" fontId="3" fillId="0" borderId="12"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4" fillId="0" borderId="12" xfId="0" applyFont="1" applyFill="1" applyBorder="1"/>
    <xf numFmtId="0" fontId="4" fillId="0" borderId="13" xfId="0" applyFont="1" applyFill="1" applyBorder="1"/>
    <xf numFmtId="0" fontId="4" fillId="0" borderId="14" xfId="0" applyFont="1" applyFill="1" applyBorder="1"/>
    <xf numFmtId="0" fontId="0" fillId="0" borderId="25" xfId="0" applyBorder="1" applyAlignment="1">
      <alignment horizontal="center"/>
    </xf>
    <xf numFmtId="0" fontId="0" fillId="0" borderId="3" xfId="0" applyBorder="1" applyAlignment="1">
      <alignment horizontal="center"/>
    </xf>
    <xf numFmtId="0" fontId="0" fillId="0" borderId="24" xfId="0" applyBorder="1" applyAlignment="1">
      <alignment horizontal="center"/>
    </xf>
    <xf numFmtId="0" fontId="1" fillId="0" borderId="23" xfId="0" applyFont="1" applyBorder="1" applyAlignment="1">
      <alignment horizontal="center"/>
    </xf>
    <xf numFmtId="0" fontId="1" fillId="0" borderId="20" xfId="0" applyFont="1" applyBorder="1" applyAlignment="1">
      <alignment horizontal="center"/>
    </xf>
    <xf numFmtId="0" fontId="1" fillId="0" borderId="24" xfId="0" applyFont="1" applyBorder="1" applyAlignment="1">
      <alignment horizontal="center"/>
    </xf>
    <xf numFmtId="0" fontId="1" fillId="0" borderId="21" xfId="0" applyFont="1" applyBorder="1" applyAlignment="1">
      <alignment horizontal="center"/>
    </xf>
    <xf numFmtId="0" fontId="0" fillId="0" borderId="22" xfId="0" applyBorder="1"/>
    <xf numFmtId="0" fontId="3" fillId="0" borderId="12" xfId="0" applyFont="1" applyFill="1" applyBorder="1" applyAlignment="1">
      <alignment vertical="center" wrapText="1"/>
    </xf>
    <xf numFmtId="0" fontId="3" fillId="0" borderId="13" xfId="0" applyFont="1" applyFill="1" applyBorder="1" applyAlignment="1">
      <alignment vertical="center" wrapText="1"/>
    </xf>
    <xf numFmtId="0" fontId="3" fillId="0" borderId="14" xfId="0" applyFont="1" applyFill="1" applyBorder="1" applyAlignment="1">
      <alignment vertical="center" wrapText="1"/>
    </xf>
    <xf numFmtId="0" fontId="3" fillId="0" borderId="15" xfId="0" applyFont="1" applyFill="1" applyBorder="1" applyAlignment="1">
      <alignment vertical="center" wrapText="1"/>
    </xf>
    <xf numFmtId="0" fontId="3" fillId="0" borderId="16" xfId="0" applyFont="1" applyFill="1" applyBorder="1" applyAlignment="1">
      <alignment vertical="center" wrapText="1"/>
    </xf>
    <xf numFmtId="0" fontId="3" fillId="0" borderId="17" xfId="0" applyFont="1" applyFill="1" applyBorder="1"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5" fillId="0" borderId="0" xfId="0" applyFont="1" applyAlignment="1">
      <alignment horizontal="left"/>
    </xf>
  </cellXfs>
  <cellStyles count="1">
    <cellStyle name="Normal" xfId="0" builtinId="0"/>
  </cellStyles>
  <dxfs count="11">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4F81BD"/>
      <rgbColor rgb="FF4BACC6"/>
      <rgbColor rgb="FF9BBB59"/>
      <rgbColor rgb="FFFFCC00"/>
      <rgbColor rgb="FFFF9900"/>
      <rgbColor rgb="FFFF6600"/>
      <rgbColor rgb="FF8064A2"/>
      <rgbColor rgb="FF969696"/>
      <rgbColor rgb="FF003366"/>
      <rgbColor rgb="FF339966"/>
      <rgbColor rgb="FF003300"/>
      <rgbColor rgb="FF333300"/>
      <rgbColor rgb="FF993300"/>
      <rgbColor rgb="FF993366"/>
      <rgbColor rgb="FF1F4E78"/>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s-GT" sz="1800" b="1" strike="noStrike" spc="-1">
                <a:solidFill>
                  <a:srgbClr val="000000"/>
                </a:solidFill>
                <a:latin typeface="Calibri"/>
              </a:rPr>
              <a:t>Mecánicos simultáneos requeridos por secuencia</a:t>
            </a:r>
          </a:p>
        </c:rich>
      </c:tx>
      <c:overlay val="0"/>
      <c:spPr>
        <a:noFill/>
        <a:ln w="0">
          <a:noFill/>
        </a:ln>
      </c:spPr>
    </c:title>
    <c:autoTitleDeleted val="0"/>
    <c:plotArea>
      <c:layout/>
      <c:barChart>
        <c:barDir val="col"/>
        <c:grouping val="clustered"/>
        <c:varyColors val="0"/>
        <c:ser>
          <c:idx val="0"/>
          <c:order val="0"/>
          <c:tx>
            <c:strRef>
              <c:f>Resumen!$B$3</c:f>
              <c:strCache>
                <c:ptCount val="1"/>
                <c:pt idx="0">
                  <c:v>Celda 1</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s-GT"/>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Resumen!$A$4:$A$14</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Resumen!$B$4:$B$14</c:f>
              <c:numCache>
                <c:formatCode>General</c:formatCode>
                <c:ptCount val="11"/>
                <c:pt idx="0">
                  <c:v>7</c:v>
                </c:pt>
                <c:pt idx="1">
                  <c:v>5</c:v>
                </c:pt>
                <c:pt idx="2">
                  <c:v>2</c:v>
                </c:pt>
                <c:pt idx="3">
                  <c:v>7</c:v>
                </c:pt>
                <c:pt idx="4">
                  <c:v>2</c:v>
                </c:pt>
                <c:pt idx="5">
                  <c:v>6</c:v>
                </c:pt>
                <c:pt idx="6">
                  <c:v>7</c:v>
                </c:pt>
                <c:pt idx="7">
                  <c:v>2</c:v>
                </c:pt>
                <c:pt idx="8">
                  <c:v>3</c:v>
                </c:pt>
                <c:pt idx="9">
                  <c:v>4</c:v>
                </c:pt>
                <c:pt idx="10">
                  <c:v>4</c:v>
                </c:pt>
              </c:numCache>
            </c:numRef>
          </c:val>
          <c:extLst>
            <c:ext xmlns:c16="http://schemas.microsoft.com/office/drawing/2014/chart" uri="{C3380CC4-5D6E-409C-BE32-E72D297353CC}">
              <c16:uniqueId val="{00000000-3D36-4C94-94D5-A30921BFCBA7}"/>
            </c:ext>
          </c:extLst>
        </c:ser>
        <c:ser>
          <c:idx val="1"/>
          <c:order val="1"/>
          <c:tx>
            <c:strRef>
              <c:f>Resumen!$C$3</c:f>
              <c:strCache>
                <c:ptCount val="1"/>
                <c:pt idx="0">
                  <c:v>Celda 2</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s-GT"/>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Resumen!$A$4:$A$14</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Resumen!$C$4:$C$14</c:f>
              <c:numCache>
                <c:formatCode>General</c:formatCode>
                <c:ptCount val="11"/>
                <c:pt idx="0">
                  <c:v>5</c:v>
                </c:pt>
                <c:pt idx="1">
                  <c:v>7</c:v>
                </c:pt>
                <c:pt idx="2">
                  <c:v>5</c:v>
                </c:pt>
                <c:pt idx="3">
                  <c:v>4</c:v>
                </c:pt>
                <c:pt idx="4">
                  <c:v>5</c:v>
                </c:pt>
                <c:pt idx="5">
                  <c:v>5</c:v>
                </c:pt>
                <c:pt idx="6">
                  <c:v>4</c:v>
                </c:pt>
                <c:pt idx="7">
                  <c:v>6</c:v>
                </c:pt>
                <c:pt idx="8">
                  <c:v>2</c:v>
                </c:pt>
                <c:pt idx="9">
                  <c:v>3</c:v>
                </c:pt>
                <c:pt idx="10">
                  <c:v>2</c:v>
                </c:pt>
              </c:numCache>
            </c:numRef>
          </c:val>
          <c:extLst>
            <c:ext xmlns:c16="http://schemas.microsoft.com/office/drawing/2014/chart" uri="{C3380CC4-5D6E-409C-BE32-E72D297353CC}">
              <c16:uniqueId val="{00000001-3D36-4C94-94D5-A30921BFCBA7}"/>
            </c:ext>
          </c:extLst>
        </c:ser>
        <c:ser>
          <c:idx val="2"/>
          <c:order val="2"/>
          <c:tx>
            <c:strRef>
              <c:f>Resumen!$D$3</c:f>
              <c:strCache>
                <c:ptCount val="1"/>
                <c:pt idx="0">
                  <c:v>Celda 3</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s-GT"/>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Resumen!$A$4:$A$14</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Resumen!$D$4:$D$14</c:f>
              <c:numCache>
                <c:formatCode>General</c:formatCode>
                <c:ptCount val="11"/>
                <c:pt idx="0">
                  <c:v>7</c:v>
                </c:pt>
                <c:pt idx="1">
                  <c:v>4</c:v>
                </c:pt>
                <c:pt idx="2">
                  <c:v>2</c:v>
                </c:pt>
                <c:pt idx="3">
                  <c:v>7</c:v>
                </c:pt>
                <c:pt idx="4">
                  <c:v>2</c:v>
                </c:pt>
                <c:pt idx="5">
                  <c:v>7</c:v>
                </c:pt>
                <c:pt idx="6">
                  <c:v>6</c:v>
                </c:pt>
                <c:pt idx="7">
                  <c:v>2</c:v>
                </c:pt>
                <c:pt idx="8">
                  <c:v>3</c:v>
                </c:pt>
                <c:pt idx="9">
                  <c:v>5</c:v>
                </c:pt>
                <c:pt idx="10">
                  <c:v>1</c:v>
                </c:pt>
              </c:numCache>
            </c:numRef>
          </c:val>
          <c:extLst>
            <c:ext xmlns:c16="http://schemas.microsoft.com/office/drawing/2014/chart" uri="{C3380CC4-5D6E-409C-BE32-E72D297353CC}">
              <c16:uniqueId val="{00000002-3D36-4C94-94D5-A30921BFCBA7}"/>
            </c:ext>
          </c:extLst>
        </c:ser>
        <c:ser>
          <c:idx val="3"/>
          <c:order val="3"/>
          <c:tx>
            <c:strRef>
              <c:f>Resumen!$E$3</c:f>
              <c:strCache>
                <c:ptCount val="1"/>
                <c:pt idx="0">
                  <c:v>Celda 4</c:v>
                </c:pt>
              </c:strCache>
            </c:strRef>
          </c:tx>
          <c:spPr>
            <a:solidFill>
              <a:srgbClr val="8064A2"/>
            </a:solidFill>
            <a:ln w="0">
              <a:noFill/>
            </a:ln>
          </c:spPr>
          <c:invertIfNegative val="0"/>
          <c:dLbls>
            <c:spPr>
              <a:noFill/>
              <a:ln>
                <a:noFill/>
              </a:ln>
              <a:effectLst/>
            </c:spPr>
            <c:txPr>
              <a:bodyPr wrap="none"/>
              <a:lstStyle/>
              <a:p>
                <a:pPr>
                  <a:defRPr sz="1000" b="0" strike="noStrike" spc="-1">
                    <a:latin typeface="Arial"/>
                  </a:defRPr>
                </a:pPr>
                <a:endParaRPr lang="es-GT"/>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Resumen!$A$4:$A$14</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Resumen!$E$4:$E$14</c:f>
              <c:numCache>
                <c:formatCode>General</c:formatCode>
                <c:ptCount val="11"/>
                <c:pt idx="0">
                  <c:v>6</c:v>
                </c:pt>
                <c:pt idx="1">
                  <c:v>4</c:v>
                </c:pt>
                <c:pt idx="2">
                  <c:v>8</c:v>
                </c:pt>
                <c:pt idx="3">
                  <c:v>4</c:v>
                </c:pt>
                <c:pt idx="4">
                  <c:v>2</c:v>
                </c:pt>
                <c:pt idx="5">
                  <c:v>7</c:v>
                </c:pt>
                <c:pt idx="6">
                  <c:v>4</c:v>
                </c:pt>
                <c:pt idx="7">
                  <c:v>2</c:v>
                </c:pt>
                <c:pt idx="8">
                  <c:v>6</c:v>
                </c:pt>
                <c:pt idx="9">
                  <c:v>3</c:v>
                </c:pt>
                <c:pt idx="10">
                  <c:v>4</c:v>
                </c:pt>
              </c:numCache>
            </c:numRef>
          </c:val>
          <c:extLst>
            <c:ext xmlns:c16="http://schemas.microsoft.com/office/drawing/2014/chart" uri="{C3380CC4-5D6E-409C-BE32-E72D297353CC}">
              <c16:uniqueId val="{00000003-3D36-4C94-94D5-A30921BFCBA7}"/>
            </c:ext>
          </c:extLst>
        </c:ser>
        <c:ser>
          <c:idx val="4"/>
          <c:order val="4"/>
          <c:tx>
            <c:strRef>
              <c:f>Resumen!$F$3</c:f>
              <c:strCache>
                <c:ptCount val="1"/>
                <c:pt idx="0">
                  <c:v>Celda 5</c:v>
                </c:pt>
              </c:strCache>
            </c:strRef>
          </c:tx>
          <c:spPr>
            <a:solidFill>
              <a:srgbClr val="4BACC6"/>
            </a:solidFill>
            <a:ln w="0">
              <a:noFill/>
            </a:ln>
          </c:spPr>
          <c:invertIfNegative val="0"/>
          <c:dLbls>
            <c:spPr>
              <a:noFill/>
              <a:ln>
                <a:noFill/>
              </a:ln>
              <a:effectLst/>
            </c:spPr>
            <c:txPr>
              <a:bodyPr wrap="none"/>
              <a:lstStyle/>
              <a:p>
                <a:pPr>
                  <a:defRPr sz="1000" b="0" strike="noStrike" spc="-1">
                    <a:latin typeface="Arial"/>
                  </a:defRPr>
                </a:pPr>
                <a:endParaRPr lang="es-GT"/>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Resumen!$A$4:$A$14</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Resumen!$F$4:$F$14</c:f>
              <c:numCache>
                <c:formatCode>General</c:formatCode>
                <c:ptCount val="11"/>
                <c:pt idx="0">
                  <c:v>5</c:v>
                </c:pt>
                <c:pt idx="1">
                  <c:v>4</c:v>
                </c:pt>
                <c:pt idx="2">
                  <c:v>2</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3D36-4C94-94D5-A30921BFCBA7}"/>
            </c:ext>
          </c:extLst>
        </c:ser>
        <c:dLbls>
          <c:showLegendKey val="0"/>
          <c:showVal val="0"/>
          <c:showCatName val="0"/>
          <c:showSerName val="0"/>
          <c:showPercent val="0"/>
          <c:showBubbleSize val="0"/>
        </c:dLbls>
        <c:gapWidth val="150"/>
        <c:axId val="82537998"/>
        <c:axId val="86728283"/>
      </c:barChart>
      <c:lineChart>
        <c:grouping val="standard"/>
        <c:varyColors val="0"/>
        <c:ser>
          <c:idx val="5"/>
          <c:order val="5"/>
          <c:tx>
            <c:strRef>
              <c:f>Resumen!$H$3</c:f>
              <c:strCache>
                <c:ptCount val="1"/>
                <c:pt idx="0">
                  <c:v>Capacidad (8)</c:v>
                </c:pt>
              </c:strCache>
            </c:strRef>
          </c:tx>
          <c:spPr>
            <a:ln w="2016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s-GT"/>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Resumen!$A$4:$A$14</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Resumen!$I$4:$I$14</c:f>
              <c:numCache>
                <c:formatCode>General</c:formatCode>
                <c:ptCount val="11"/>
              </c:numCache>
            </c:numRef>
          </c:val>
          <c:smooth val="0"/>
          <c:extLst>
            <c:ext xmlns:c16="http://schemas.microsoft.com/office/drawing/2014/chart" uri="{C3380CC4-5D6E-409C-BE32-E72D297353CC}">
              <c16:uniqueId val="{00000005-3D36-4C94-94D5-A30921BFCBA7}"/>
            </c:ext>
          </c:extLst>
        </c:ser>
        <c:dLbls>
          <c:showLegendKey val="0"/>
          <c:showVal val="0"/>
          <c:showCatName val="0"/>
          <c:showSerName val="0"/>
          <c:showPercent val="0"/>
          <c:showBubbleSize val="0"/>
        </c:dLbls>
        <c:hiLowLines>
          <c:spPr>
            <a:ln w="0">
              <a:noFill/>
            </a:ln>
          </c:spPr>
        </c:hiLowLines>
        <c:marker val="1"/>
        <c:smooth val="0"/>
        <c:axId val="82537998"/>
        <c:axId val="86728283"/>
      </c:lineChart>
      <c:catAx>
        <c:axId val="82537998"/>
        <c:scaling>
          <c:orientation val="minMax"/>
        </c:scaling>
        <c:delete val="0"/>
        <c:axPos val="b"/>
        <c:title>
          <c:tx>
            <c:rich>
              <a:bodyPr rot="0"/>
              <a:lstStyle/>
              <a:p>
                <a:pPr>
                  <a:defRPr sz="1400" b="1" strike="noStrike" spc="-1">
                    <a:solidFill>
                      <a:srgbClr val="000000"/>
                    </a:solidFill>
                    <a:latin typeface="Calibri"/>
                  </a:defRPr>
                </a:pPr>
                <a:r>
                  <a:rPr lang="es-GT" sz="1400" b="1" strike="noStrike" spc="-1">
                    <a:solidFill>
                      <a:srgbClr val="000000"/>
                    </a:solidFill>
                    <a:latin typeface="Calibri"/>
                  </a:rPr>
                  <a:t>Número de secuencia</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GT"/>
          </a:p>
        </c:txPr>
        <c:crossAx val="86728283"/>
        <c:crosses val="autoZero"/>
        <c:auto val="1"/>
        <c:lblAlgn val="ctr"/>
        <c:lblOffset val="100"/>
        <c:noMultiLvlLbl val="0"/>
      </c:catAx>
      <c:valAx>
        <c:axId val="86728283"/>
        <c:scaling>
          <c:orientation val="minMax"/>
        </c:scaling>
        <c:delete val="0"/>
        <c:axPos val="l"/>
        <c:majorGridlines>
          <c:spPr>
            <a:ln w="9360">
              <a:solidFill>
                <a:srgbClr val="878787"/>
              </a:solidFill>
              <a:round/>
            </a:ln>
          </c:spPr>
        </c:majorGridlines>
        <c:title>
          <c:tx>
            <c:rich>
              <a:bodyPr rot="-5400000"/>
              <a:lstStyle/>
              <a:p>
                <a:pPr>
                  <a:defRPr sz="1400" b="1" strike="noStrike" spc="-1">
                    <a:solidFill>
                      <a:srgbClr val="000000"/>
                    </a:solidFill>
                    <a:latin typeface="Calibri"/>
                  </a:defRPr>
                </a:pPr>
                <a:r>
                  <a:rPr lang="es-GT" sz="1400" b="1" strike="noStrike" spc="-1">
                    <a:solidFill>
                      <a:srgbClr val="000000"/>
                    </a:solidFill>
                    <a:latin typeface="Calibri"/>
                  </a:rPr>
                  <a:t>Mecánicos requeridos (simultáneos)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GT"/>
          </a:p>
        </c:txPr>
        <c:crossAx val="8253799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GT"/>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9</xdr:col>
      <xdr:colOff>186975</xdr:colOff>
      <xdr:row>35</xdr:row>
      <xdr:rowOff>170640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
  <sheetViews>
    <sheetView tabSelected="1" zoomScaleNormal="100" workbookViewId="0">
      <pane ySplit="3" topLeftCell="A4" activePane="bottomLeft" state="frozen"/>
      <selection pane="bottomLeft" activeCell="K17" sqref="K17"/>
    </sheetView>
  </sheetViews>
  <sheetFormatPr defaultColWidth="8.6640625" defaultRowHeight="14.4" x14ac:dyDescent="0.3"/>
  <cols>
    <col min="1" max="1" width="27.6640625" customWidth="1"/>
    <col min="2" max="6" width="12" customWidth="1"/>
    <col min="7" max="7" width="25.33203125" customWidth="1"/>
  </cols>
  <sheetData>
    <row r="1" spans="1:10" ht="21.75" customHeight="1" thickBot="1" x14ac:dyDescent="0.35">
      <c r="A1" s="40" t="s">
        <v>0</v>
      </c>
      <c r="B1" s="41"/>
      <c r="C1" s="41"/>
      <c r="D1" s="41"/>
      <c r="E1" s="41"/>
      <c r="F1" s="41"/>
      <c r="G1" s="42"/>
    </row>
    <row r="2" spans="1:10" ht="39.75" customHeight="1" thickBot="1" x14ac:dyDescent="0.35">
      <c r="A2" s="37" t="s">
        <v>1</v>
      </c>
      <c r="B2" s="38"/>
      <c r="C2" s="38"/>
      <c r="D2" s="38"/>
      <c r="E2" s="38"/>
      <c r="F2" s="38"/>
      <c r="G2" s="39"/>
    </row>
    <row r="3" spans="1:10" ht="18" customHeight="1" thickBot="1" x14ac:dyDescent="0.35">
      <c r="A3" s="8" t="s">
        <v>2</v>
      </c>
      <c r="B3" s="9" t="s">
        <v>3</v>
      </c>
      <c r="C3" s="10" t="s">
        <v>4</v>
      </c>
      <c r="D3" s="10" t="s">
        <v>5</v>
      </c>
      <c r="E3" s="10" t="s">
        <v>6</v>
      </c>
      <c r="F3" s="10" t="s">
        <v>7</v>
      </c>
      <c r="G3" s="11" t="s">
        <v>8</v>
      </c>
      <c r="H3" s="12" t="s">
        <v>9</v>
      </c>
      <c r="I3" s="12"/>
      <c r="J3" s="13"/>
    </row>
    <row r="4" spans="1:10" x14ac:dyDescent="0.3">
      <c r="A4" s="5">
        <v>1</v>
      </c>
      <c r="B4" s="6">
        <f>IF(COUNTIF(WorkCell1!$A$4:$A$22,$A4)=0,"–",SUMIF(WorkCell1!$A$4:$A$22,$A4,WorkCell1!$C$4:$C$22))</f>
        <v>7</v>
      </c>
      <c r="C4" s="7">
        <f>IF(COUNTIF(WorkCell2!$A$4:$A$23,$A4)=0,"–",SUMIF(WorkCell2!$A$4:$A$23,$A4,WorkCell2!$C$4:$C$23))</f>
        <v>5</v>
      </c>
      <c r="D4" s="7">
        <f>IF(COUNTIF(WorkCell3!$A$4:$A$22,$A4)=0,"–",SUMIF(WorkCell3!$A$4:$A$22,$A4,WorkCell3!$C$4:$C$22))</f>
        <v>7</v>
      </c>
      <c r="E4" s="7">
        <f>IF(COUNTIF(WorkCell4!$A$4:$A$23,$A4)=0,"–",SUMIF(WorkCell4!$A$4:$A$23,$A4,WorkCell4!$C$4:$C$23))</f>
        <v>6</v>
      </c>
      <c r="F4" s="7">
        <f>IF(COUNTIF(WorkCell5!$A$4:$A$8,$A4)=0,"–",SUMIF(WorkCell5!$A$4:$A$8,$A4,WorkCell5!$C$4:$C$8))</f>
        <v>5</v>
      </c>
      <c r="G4" s="46">
        <f t="shared" ref="G4:G14" si="0">MAX(B4:F4)</f>
        <v>7</v>
      </c>
      <c r="H4" s="43">
        <v>8</v>
      </c>
      <c r="I4" s="15"/>
      <c r="J4" s="16"/>
    </row>
    <row r="5" spans="1:10" x14ac:dyDescent="0.3">
      <c r="A5" s="3">
        <v>2</v>
      </c>
      <c r="B5" s="2">
        <f>IF(COUNTIF(WorkCell1!$A$4:$A$22,$A5)=0,"–",SUMIF(WorkCell1!$A$4:$A$22,$A5,WorkCell1!$C$4:$C$22))</f>
        <v>5</v>
      </c>
      <c r="C5" s="1">
        <f>IF(COUNTIF(WorkCell2!$A$4:$A$23,$A5)=0,"–",SUMIF(WorkCell2!$A$4:$A$23,$A5,WorkCell2!$C$4:$C$23))</f>
        <v>7</v>
      </c>
      <c r="D5" s="1">
        <f>IF(COUNTIF(WorkCell3!$A$4:$A$22,$A5)=0,"–",SUMIF(WorkCell3!$A$4:$A$22,$A5,WorkCell3!$C$4:$C$22))</f>
        <v>4</v>
      </c>
      <c r="E5" s="1">
        <f>IF(COUNTIF(WorkCell4!$A$4:$A$23,$A5)=0,"–",SUMIF(WorkCell4!$A$4:$A$23,$A5,WorkCell4!$C$4:$C$23))</f>
        <v>4</v>
      </c>
      <c r="F5" s="1">
        <f>IF(COUNTIF(WorkCell5!$A$4:$A$8,$A5)=0,"–",SUMIF(WorkCell5!$A$4:$A$8,$A5,WorkCell5!$C$4:$C$8))</f>
        <v>4</v>
      </c>
      <c r="G5" s="47">
        <f t="shared" si="0"/>
        <v>7</v>
      </c>
      <c r="H5" s="44">
        <v>8</v>
      </c>
      <c r="I5" s="14"/>
      <c r="J5" s="17"/>
    </row>
    <row r="6" spans="1:10" x14ac:dyDescent="0.3">
      <c r="A6" s="3">
        <v>3</v>
      </c>
      <c r="B6" s="2">
        <f>IF(COUNTIF(WorkCell1!$A$4:$A$22,$A6)=0,"–",SUMIF(WorkCell1!$A$4:$A$22,$A6,WorkCell1!$C$4:$C$22))</f>
        <v>2</v>
      </c>
      <c r="C6" s="1">
        <f>IF(COUNTIF(WorkCell2!$A$4:$A$23,$A6)=0,"–",SUMIF(WorkCell2!$A$4:$A$23,$A6,WorkCell2!$C$4:$C$23))</f>
        <v>5</v>
      </c>
      <c r="D6" s="1">
        <f>IF(COUNTIF(WorkCell3!$A$4:$A$22,$A6)=0,"–",SUMIF(WorkCell3!$A$4:$A$22,$A6,WorkCell3!$C$4:$C$22))</f>
        <v>2</v>
      </c>
      <c r="E6" s="1">
        <f>IF(COUNTIF(WorkCell4!$A$4:$A$23,$A6)=0,"–",SUMIF(WorkCell4!$A$4:$A$23,$A6,WorkCell4!$C$4:$C$23))</f>
        <v>8</v>
      </c>
      <c r="F6" s="1">
        <f>IF(COUNTIF(WorkCell5!$A$4:$A$8,$A6)=0,"–",SUMIF(WorkCell5!$A$4:$A$8,$A6,WorkCell5!$C$4:$C$8))</f>
        <v>2</v>
      </c>
      <c r="G6" s="47">
        <f t="shared" si="0"/>
        <v>8</v>
      </c>
      <c r="H6" s="44">
        <v>8</v>
      </c>
      <c r="I6" s="14"/>
      <c r="J6" s="17"/>
    </row>
    <row r="7" spans="1:10" x14ac:dyDescent="0.3">
      <c r="A7" s="3">
        <v>4</v>
      </c>
      <c r="B7" s="2">
        <f>IF(COUNTIF(WorkCell1!$A$4:$A$22,$A7)=0,"–",SUMIF(WorkCell1!$A$4:$A$22,$A7,WorkCell1!$C$4:$C$22))</f>
        <v>7</v>
      </c>
      <c r="C7" s="1">
        <f>IF(COUNTIF(WorkCell2!$A$4:$A$23,$A7)=0,"–",SUMIF(WorkCell2!$A$4:$A$23,$A7,WorkCell2!$C$4:$C$23))</f>
        <v>4</v>
      </c>
      <c r="D7" s="1">
        <f>IF(COUNTIF(WorkCell3!$A$4:$A$22,$A7)=0,"–",SUMIF(WorkCell3!$A$4:$A$22,$A7,WorkCell3!$C$4:$C$22))</f>
        <v>7</v>
      </c>
      <c r="E7" s="1">
        <f>IF(COUNTIF(WorkCell4!$A$4:$A$23,$A7)=0,"–",SUMIF(WorkCell4!$A$4:$A$23,$A7,WorkCell4!$C$4:$C$23))</f>
        <v>4</v>
      </c>
      <c r="F7" s="1" t="str">
        <f>IF(COUNTIF(WorkCell5!$A$4:$A$8,$A7)=0,"–",SUMIF(WorkCell5!$A$4:$A$8,$A7,WorkCell5!$C$4:$C$8))</f>
        <v>–</v>
      </c>
      <c r="G7" s="47">
        <f t="shared" si="0"/>
        <v>7</v>
      </c>
      <c r="H7" s="44">
        <v>8</v>
      </c>
      <c r="I7" s="14"/>
      <c r="J7" s="17"/>
    </row>
    <row r="8" spans="1:10" x14ac:dyDescent="0.3">
      <c r="A8" s="3">
        <v>5</v>
      </c>
      <c r="B8" s="2">
        <f>IF(COUNTIF(WorkCell1!$A$4:$A$22,$A8)=0,"–",SUMIF(WorkCell1!$A$4:$A$22,$A8,WorkCell1!$C$4:$C$22))</f>
        <v>2</v>
      </c>
      <c r="C8" s="1">
        <f>IF(COUNTIF(WorkCell2!$A$4:$A$23,$A8)=0,"–",SUMIF(WorkCell2!$A$4:$A$23,$A8,WorkCell2!$C$4:$C$23))</f>
        <v>5</v>
      </c>
      <c r="D8" s="1">
        <f>IF(COUNTIF(WorkCell3!$A$4:$A$22,$A8)=0,"–",SUMIF(WorkCell3!$A$4:$A$22,$A8,WorkCell3!$C$4:$C$22))</f>
        <v>2</v>
      </c>
      <c r="E8" s="1">
        <f>IF(COUNTIF(WorkCell4!$A$4:$A$23,$A8)=0,"–",SUMIF(WorkCell4!$A$4:$A$23,$A8,WorkCell4!$C$4:$C$23))</f>
        <v>2</v>
      </c>
      <c r="F8" s="1" t="str">
        <f>IF(COUNTIF(WorkCell5!$A$4:$A$8,$A8)=0,"–",SUMIF(WorkCell5!$A$4:$A$8,$A8,WorkCell5!$C$4:$C$8))</f>
        <v>–</v>
      </c>
      <c r="G8" s="47">
        <f t="shared" si="0"/>
        <v>5</v>
      </c>
      <c r="H8" s="44">
        <v>8</v>
      </c>
      <c r="I8" s="14"/>
      <c r="J8" s="17"/>
    </row>
    <row r="9" spans="1:10" x14ac:dyDescent="0.3">
      <c r="A9" s="3">
        <v>6</v>
      </c>
      <c r="B9" s="2">
        <f>IF(COUNTIF(WorkCell1!$A$4:$A$22,$A9)=0,"–",SUMIF(WorkCell1!$A$4:$A$22,$A9,WorkCell1!$C$4:$C$22))</f>
        <v>6</v>
      </c>
      <c r="C9" s="1">
        <f>IF(COUNTIF(WorkCell2!$A$4:$A$23,$A9)=0,"–",SUMIF(WorkCell2!$A$4:$A$23,$A9,WorkCell2!$C$4:$C$23))</f>
        <v>5</v>
      </c>
      <c r="D9" s="1">
        <f>IF(COUNTIF(WorkCell3!$A$4:$A$22,$A9)=0,"–",SUMIF(WorkCell3!$A$4:$A$22,$A9,WorkCell3!$C$4:$C$22))</f>
        <v>7</v>
      </c>
      <c r="E9" s="1">
        <f>IF(COUNTIF(WorkCell4!$A$4:$A$23,$A9)=0,"–",SUMIF(WorkCell4!$A$4:$A$23,$A9,WorkCell4!$C$4:$C$23))</f>
        <v>7</v>
      </c>
      <c r="F9" s="1" t="str">
        <f>IF(COUNTIF(WorkCell5!$A$4:$A$8,$A9)=0,"–",SUMIF(WorkCell5!$A$4:$A$8,$A9,WorkCell5!$C$4:$C$8))</f>
        <v>–</v>
      </c>
      <c r="G9" s="47">
        <f t="shared" si="0"/>
        <v>7</v>
      </c>
      <c r="H9" s="44">
        <v>8</v>
      </c>
      <c r="I9" s="14"/>
      <c r="J9" s="17"/>
    </row>
    <row r="10" spans="1:10" x14ac:dyDescent="0.3">
      <c r="A10" s="3">
        <v>7</v>
      </c>
      <c r="B10" s="2">
        <f>IF(COUNTIF(WorkCell1!$A$4:$A$22,$A10)=0,"–",SUMIF(WorkCell1!$A$4:$A$22,$A10,WorkCell1!$C$4:$C$22))</f>
        <v>7</v>
      </c>
      <c r="C10" s="1">
        <f>IF(COUNTIF(WorkCell2!$A$4:$A$23,$A10)=0,"–",SUMIF(WorkCell2!$A$4:$A$23,$A10,WorkCell2!$C$4:$C$23))</f>
        <v>4</v>
      </c>
      <c r="D10" s="1">
        <f>IF(COUNTIF(WorkCell3!$A$4:$A$22,$A10)=0,"–",SUMIF(WorkCell3!$A$4:$A$22,$A10,WorkCell3!$C$4:$C$22))</f>
        <v>6</v>
      </c>
      <c r="E10" s="1">
        <f>IF(COUNTIF(WorkCell4!$A$4:$A$23,$A10)=0,"–",SUMIF(WorkCell4!$A$4:$A$23,$A10,WorkCell4!$C$4:$C$23))</f>
        <v>4</v>
      </c>
      <c r="F10" s="1" t="str">
        <f>IF(COUNTIF(WorkCell5!$A$4:$A$8,$A10)=0,"–",SUMIF(WorkCell5!$A$4:$A$8,$A10,WorkCell5!$C$4:$C$8))</f>
        <v>–</v>
      </c>
      <c r="G10" s="47">
        <f t="shared" si="0"/>
        <v>7</v>
      </c>
      <c r="H10" s="44">
        <v>8</v>
      </c>
      <c r="I10" s="14"/>
      <c r="J10" s="17"/>
    </row>
    <row r="11" spans="1:10" x14ac:dyDescent="0.3">
      <c r="A11" s="3">
        <v>8</v>
      </c>
      <c r="B11" s="2">
        <f>IF(COUNTIF(WorkCell1!$A$4:$A$22,$A11)=0,"–",SUMIF(WorkCell1!$A$4:$A$22,$A11,WorkCell1!$C$4:$C$22))</f>
        <v>2</v>
      </c>
      <c r="C11" s="1">
        <f>IF(COUNTIF(WorkCell2!$A$4:$A$23,$A11)=0,"–",SUMIF(WorkCell2!$A$4:$A$23,$A11,WorkCell2!$C$4:$C$23))</f>
        <v>6</v>
      </c>
      <c r="D11" s="1">
        <f>IF(COUNTIF(WorkCell3!$A$4:$A$22,$A11)=0,"–",SUMIF(WorkCell3!$A$4:$A$22,$A11,WorkCell3!$C$4:$C$22))</f>
        <v>2</v>
      </c>
      <c r="E11" s="1">
        <f>IF(COUNTIF(WorkCell4!$A$4:$A$23,$A11)=0,"–",SUMIF(WorkCell4!$A$4:$A$23,$A11,WorkCell4!$C$4:$C$23))</f>
        <v>2</v>
      </c>
      <c r="F11" s="1" t="str">
        <f>IF(COUNTIF(WorkCell5!$A$4:$A$8,$A11)=0,"–",SUMIF(WorkCell5!$A$4:$A$8,$A11,WorkCell5!$C$4:$C$8))</f>
        <v>–</v>
      </c>
      <c r="G11" s="47">
        <f t="shared" si="0"/>
        <v>6</v>
      </c>
      <c r="H11" s="44">
        <v>8</v>
      </c>
      <c r="I11" s="14"/>
      <c r="J11" s="17"/>
    </row>
    <row r="12" spans="1:10" x14ac:dyDescent="0.3">
      <c r="A12" s="3">
        <v>9</v>
      </c>
      <c r="B12" s="2">
        <f>IF(COUNTIF(WorkCell1!$A$4:$A$22,$A12)=0,"–",SUMIF(WorkCell1!$A$4:$A$22,$A12,WorkCell1!$C$4:$C$22))</f>
        <v>3</v>
      </c>
      <c r="C12" s="1">
        <f>IF(COUNTIF(WorkCell2!$A$4:$A$23,$A12)=0,"–",SUMIF(WorkCell2!$A$4:$A$23,$A12,WorkCell2!$C$4:$C$23))</f>
        <v>2</v>
      </c>
      <c r="D12" s="1">
        <f>IF(COUNTIF(WorkCell3!$A$4:$A$22,$A12)=0,"–",SUMIF(WorkCell3!$A$4:$A$22,$A12,WorkCell3!$C$4:$C$22))</f>
        <v>3</v>
      </c>
      <c r="E12" s="1">
        <f>IF(COUNTIF(WorkCell4!$A$4:$A$23,$A12)=0,"–",SUMIF(WorkCell4!$A$4:$A$23,$A12,WorkCell4!$C$4:$C$23))</f>
        <v>6</v>
      </c>
      <c r="F12" s="1" t="str">
        <f>IF(COUNTIF(WorkCell5!$A$4:$A$8,$A12)=0,"–",SUMIF(WorkCell5!$A$4:$A$8,$A12,WorkCell5!$C$4:$C$8))</f>
        <v>–</v>
      </c>
      <c r="G12" s="47">
        <f t="shared" si="0"/>
        <v>6</v>
      </c>
      <c r="H12" s="44">
        <v>8</v>
      </c>
      <c r="I12" s="14"/>
      <c r="J12" s="17"/>
    </row>
    <row r="13" spans="1:10" x14ac:dyDescent="0.3">
      <c r="A13" s="3">
        <v>10</v>
      </c>
      <c r="B13" s="2">
        <f>IF(COUNTIF(WorkCell1!$A$4:$A$22,$A13)=0,"–",SUMIF(WorkCell1!$A$4:$A$22,$A13,WorkCell1!$C$4:$C$22))</f>
        <v>4</v>
      </c>
      <c r="C13" s="1">
        <f>IF(COUNTIF(WorkCell2!$A$4:$A$23,$A13)=0,"–",SUMIF(WorkCell2!$A$4:$A$23,$A13,WorkCell2!$C$4:$C$23))</f>
        <v>3</v>
      </c>
      <c r="D13" s="1">
        <f>IF(COUNTIF(WorkCell3!$A$4:$A$22,$A13)=0,"–",SUMIF(WorkCell3!$A$4:$A$22,$A13,WorkCell3!$C$4:$C$22))</f>
        <v>5</v>
      </c>
      <c r="E13" s="1">
        <f>IF(COUNTIF(WorkCell4!$A$4:$A$23,$A13)=0,"–",SUMIF(WorkCell4!$A$4:$A$23,$A13,WorkCell4!$C$4:$C$23))</f>
        <v>3</v>
      </c>
      <c r="F13" s="1" t="str">
        <f>IF(COUNTIF(WorkCell5!$A$4:$A$8,$A13)=0,"–",SUMIF(WorkCell5!$A$4:$A$8,$A13,WorkCell5!$C$4:$C$8))</f>
        <v>–</v>
      </c>
      <c r="G13" s="47">
        <f t="shared" si="0"/>
        <v>5</v>
      </c>
      <c r="H13" s="44">
        <v>8</v>
      </c>
      <c r="I13" s="14"/>
      <c r="J13" s="17"/>
    </row>
    <row r="14" spans="1:10" ht="15" thickBot="1" x14ac:dyDescent="0.35">
      <c r="A14" s="3">
        <v>11</v>
      </c>
      <c r="B14" s="2">
        <f>IF(COUNTIF(WorkCell1!$A$4:$A$22,$A14)=0,"–",SUMIF(WorkCell1!$A$4:$A$22,$A14,WorkCell1!$C$4:$C$22))</f>
        <v>4</v>
      </c>
      <c r="C14" s="1">
        <f>IF(COUNTIF(WorkCell2!$A$4:$A$23,$A14)=0,"–",SUMIF(WorkCell2!$A$4:$A$23,$A14,WorkCell2!$C$4:$C$23))</f>
        <v>2</v>
      </c>
      <c r="D14" s="1">
        <f>IF(COUNTIF(WorkCell3!$A$4:$A$22,$A14)=0,"–",SUMIF(WorkCell3!$A$4:$A$22,$A14,WorkCell3!$C$4:$C$22))</f>
        <v>1</v>
      </c>
      <c r="E14" s="1">
        <f>IF(COUNTIF(WorkCell4!$A$4:$A$23,$A14)=0,"–",SUMIF(WorkCell4!$A$4:$A$23,$A14,WorkCell4!$C$4:$C$23))</f>
        <v>4</v>
      </c>
      <c r="F14" s="1" t="str">
        <f>IF(COUNTIF(WorkCell5!$A$4:$A$8,$A14)=0,"–",SUMIF(WorkCell5!$A$4:$A$8,$A14,WorkCell5!$C$4:$C$8))</f>
        <v>–</v>
      </c>
      <c r="G14" s="47">
        <f t="shared" si="0"/>
        <v>4</v>
      </c>
      <c r="H14" s="45">
        <v>8</v>
      </c>
      <c r="I14" s="18"/>
      <c r="J14" s="19"/>
    </row>
    <row r="15" spans="1:10" ht="15.75" customHeight="1" thickBot="1" x14ac:dyDescent="0.35">
      <c r="A15" s="4" t="s">
        <v>10</v>
      </c>
      <c r="B15" s="48">
        <f>MAX(B4:B14)</f>
        <v>7</v>
      </c>
      <c r="C15" s="49">
        <f>MAX(C4:C14)</f>
        <v>7</v>
      </c>
      <c r="D15" s="49">
        <f>MAX(D4:D14)</f>
        <v>7</v>
      </c>
      <c r="E15" s="49">
        <f>MAX(E4:E14)</f>
        <v>8</v>
      </c>
      <c r="F15" s="49">
        <f>MAX(F4:F14)</f>
        <v>5</v>
      </c>
      <c r="G15" s="50"/>
    </row>
    <row r="40" spans="1:7" x14ac:dyDescent="0.3">
      <c r="A40" s="59" t="s">
        <v>98</v>
      </c>
      <c r="B40" s="59"/>
      <c r="C40" s="59"/>
      <c r="D40" s="59"/>
      <c r="E40" s="59"/>
      <c r="F40" s="59"/>
      <c r="G40" s="59"/>
    </row>
    <row r="42" spans="1:7" x14ac:dyDescent="0.3">
      <c r="A42" s="57" t="s">
        <v>99</v>
      </c>
      <c r="B42" s="58"/>
      <c r="C42" s="58"/>
      <c r="D42" s="58"/>
      <c r="E42" s="58"/>
      <c r="F42" s="58"/>
      <c r="G42" s="58"/>
    </row>
    <row r="43" spans="1:7" x14ac:dyDescent="0.3">
      <c r="A43" s="58"/>
      <c r="B43" s="58"/>
      <c r="C43" s="58"/>
      <c r="D43" s="58"/>
      <c r="E43" s="58"/>
      <c r="F43" s="58"/>
      <c r="G43" s="58"/>
    </row>
    <row r="44" spans="1:7" x14ac:dyDescent="0.3">
      <c r="A44" s="58"/>
      <c r="B44" s="58"/>
      <c r="C44" s="58"/>
      <c r="D44" s="58"/>
      <c r="E44" s="58"/>
      <c r="F44" s="58"/>
      <c r="G44" s="58"/>
    </row>
    <row r="45" spans="1:7" x14ac:dyDescent="0.3">
      <c r="A45" s="58"/>
      <c r="B45" s="58"/>
      <c r="C45" s="58"/>
      <c r="D45" s="58"/>
      <c r="E45" s="58"/>
      <c r="F45" s="58"/>
      <c r="G45" s="58"/>
    </row>
    <row r="46" spans="1:7" x14ac:dyDescent="0.3">
      <c r="A46" s="58"/>
      <c r="B46" s="58"/>
      <c r="C46" s="58"/>
      <c r="D46" s="58"/>
      <c r="E46" s="58"/>
      <c r="F46" s="58"/>
      <c r="G46" s="58"/>
    </row>
    <row r="47" spans="1:7" x14ac:dyDescent="0.3">
      <c r="A47" s="58"/>
      <c r="B47" s="58"/>
      <c r="C47" s="58"/>
      <c r="D47" s="58"/>
      <c r="E47" s="58"/>
      <c r="F47" s="58"/>
      <c r="G47" s="58"/>
    </row>
    <row r="48" spans="1:7" x14ac:dyDescent="0.3">
      <c r="A48" s="58"/>
      <c r="B48" s="58"/>
      <c r="C48" s="58"/>
      <c r="D48" s="58"/>
      <c r="E48" s="58"/>
      <c r="F48" s="58"/>
      <c r="G48" s="58"/>
    </row>
    <row r="49" spans="1:7" x14ac:dyDescent="0.3">
      <c r="A49" s="58"/>
      <c r="B49" s="58"/>
      <c r="C49" s="58"/>
      <c r="D49" s="58"/>
      <c r="E49" s="58"/>
      <c r="F49" s="58"/>
      <c r="G49" s="58"/>
    </row>
    <row r="50" spans="1:7" x14ac:dyDescent="0.3">
      <c r="A50" s="58"/>
      <c r="B50" s="58"/>
      <c r="C50" s="58"/>
      <c r="D50" s="58"/>
      <c r="E50" s="58"/>
      <c r="F50" s="58"/>
      <c r="G50" s="58"/>
    </row>
    <row r="51" spans="1:7" x14ac:dyDescent="0.3">
      <c r="A51" s="58"/>
      <c r="B51" s="58"/>
      <c r="C51" s="58"/>
      <c r="D51" s="58"/>
      <c r="E51" s="58"/>
      <c r="F51" s="58"/>
      <c r="G51" s="58"/>
    </row>
    <row r="52" spans="1:7" x14ac:dyDescent="0.3">
      <c r="A52" s="58"/>
      <c r="B52" s="58"/>
      <c r="C52" s="58"/>
      <c r="D52" s="58"/>
      <c r="E52" s="58"/>
      <c r="F52" s="58"/>
      <c r="G52" s="58"/>
    </row>
    <row r="53" spans="1:7" x14ac:dyDescent="0.3">
      <c r="A53" s="58"/>
      <c r="B53" s="58"/>
      <c r="C53" s="58"/>
      <c r="D53" s="58"/>
      <c r="E53" s="58"/>
      <c r="F53" s="58"/>
      <c r="G53" s="58"/>
    </row>
    <row r="54" spans="1:7" x14ac:dyDescent="0.3">
      <c r="A54" s="58"/>
      <c r="B54" s="58"/>
      <c r="C54" s="58"/>
      <c r="D54" s="58"/>
      <c r="E54" s="58"/>
      <c r="F54" s="58"/>
      <c r="G54" s="58"/>
    </row>
    <row r="55" spans="1:7" x14ac:dyDescent="0.3">
      <c r="A55" s="58"/>
      <c r="B55" s="58"/>
      <c r="C55" s="58"/>
      <c r="D55" s="58"/>
      <c r="E55" s="58"/>
      <c r="F55" s="58"/>
      <c r="G55" s="58"/>
    </row>
    <row r="56" spans="1:7" x14ac:dyDescent="0.3">
      <c r="A56" s="58"/>
      <c r="B56" s="58"/>
      <c r="C56" s="58"/>
      <c r="D56" s="58"/>
      <c r="E56" s="58"/>
      <c r="F56" s="58"/>
      <c r="G56" s="58"/>
    </row>
    <row r="57" spans="1:7" x14ac:dyDescent="0.3">
      <c r="A57" s="58"/>
      <c r="B57" s="58"/>
      <c r="C57" s="58"/>
      <c r="D57" s="58"/>
      <c r="E57" s="58"/>
      <c r="F57" s="58"/>
      <c r="G57" s="58"/>
    </row>
    <row r="58" spans="1:7" x14ac:dyDescent="0.3">
      <c r="A58" s="58"/>
      <c r="B58" s="58"/>
      <c r="C58" s="58"/>
      <c r="D58" s="58"/>
      <c r="E58" s="58"/>
      <c r="F58" s="58"/>
      <c r="G58" s="58"/>
    </row>
    <row r="59" spans="1:7" x14ac:dyDescent="0.3">
      <c r="A59" s="58"/>
      <c r="B59" s="58"/>
      <c r="C59" s="58"/>
      <c r="D59" s="58"/>
      <c r="E59" s="58"/>
      <c r="F59" s="58"/>
      <c r="G59" s="58"/>
    </row>
    <row r="60" spans="1:7" x14ac:dyDescent="0.3">
      <c r="A60" s="58"/>
      <c r="B60" s="58"/>
      <c r="C60" s="58"/>
      <c r="D60" s="58"/>
      <c r="E60" s="58"/>
      <c r="F60" s="58"/>
      <c r="G60" s="58"/>
    </row>
    <row r="61" spans="1:7" x14ac:dyDescent="0.3">
      <c r="A61" s="58"/>
      <c r="B61" s="58"/>
      <c r="C61" s="58"/>
      <c r="D61" s="58"/>
      <c r="E61" s="58"/>
      <c r="F61" s="58"/>
      <c r="G61" s="58"/>
    </row>
    <row r="62" spans="1:7" x14ac:dyDescent="0.3">
      <c r="A62" s="58"/>
      <c r="B62" s="58"/>
      <c r="C62" s="58"/>
      <c r="D62" s="58"/>
      <c r="E62" s="58"/>
      <c r="F62" s="58"/>
      <c r="G62" s="58"/>
    </row>
    <row r="63" spans="1:7" x14ac:dyDescent="0.3">
      <c r="A63" s="58"/>
      <c r="B63" s="58"/>
      <c r="C63" s="58"/>
      <c r="D63" s="58"/>
      <c r="E63" s="58"/>
      <c r="F63" s="58"/>
      <c r="G63" s="58"/>
    </row>
    <row r="64" spans="1:7" x14ac:dyDescent="0.3">
      <c r="A64" s="58"/>
      <c r="B64" s="58"/>
      <c r="C64" s="58"/>
      <c r="D64" s="58"/>
      <c r="E64" s="58"/>
      <c r="F64" s="58"/>
      <c r="G64" s="58"/>
    </row>
    <row r="65" spans="1:7" x14ac:dyDescent="0.3">
      <c r="A65" s="58"/>
      <c r="B65" s="58"/>
      <c r="C65" s="58"/>
      <c r="D65" s="58"/>
      <c r="E65" s="58"/>
      <c r="F65" s="58"/>
      <c r="G65" s="58"/>
    </row>
    <row r="66" spans="1:7" x14ac:dyDescent="0.3">
      <c r="A66" s="58"/>
      <c r="B66" s="58"/>
      <c r="C66" s="58"/>
      <c r="D66" s="58"/>
      <c r="E66" s="58"/>
      <c r="F66" s="58"/>
      <c r="G66" s="58"/>
    </row>
    <row r="67" spans="1:7" x14ac:dyDescent="0.3">
      <c r="A67" s="58"/>
      <c r="B67" s="58"/>
      <c r="C67" s="58"/>
      <c r="D67" s="58"/>
      <c r="E67" s="58"/>
      <c r="F67" s="58"/>
      <c r="G67" s="58"/>
    </row>
    <row r="68" spans="1:7" x14ac:dyDescent="0.3">
      <c r="A68" s="58"/>
      <c r="B68" s="58"/>
      <c r="C68" s="58"/>
      <c r="D68" s="58"/>
      <c r="E68" s="58"/>
      <c r="F68" s="58"/>
      <c r="G68" s="58"/>
    </row>
  </sheetData>
  <mergeCells count="16">
    <mergeCell ref="A42:G68"/>
    <mergeCell ref="H11:J11"/>
    <mergeCell ref="H12:J12"/>
    <mergeCell ref="H13:J13"/>
    <mergeCell ref="H14:J14"/>
    <mergeCell ref="A40:G40"/>
    <mergeCell ref="H6:J6"/>
    <mergeCell ref="H7:J7"/>
    <mergeCell ref="H8:J8"/>
    <mergeCell ref="H9:J9"/>
    <mergeCell ref="H10:J10"/>
    <mergeCell ref="A1:G1"/>
    <mergeCell ref="A2:G2"/>
    <mergeCell ref="H3:J3"/>
    <mergeCell ref="H4:J4"/>
    <mergeCell ref="H5:J5"/>
  </mergeCells>
  <conditionalFormatting sqref="B4:F14">
    <cfRule type="cellIs" dxfId="10" priority="2" operator="greaterThanOrEqual">
      <formula>8</formula>
    </cfRule>
  </conditionalFormatting>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zoomScaleNormal="100" workbookViewId="0">
      <pane ySplit="3" topLeftCell="A4" activePane="bottomLeft" state="frozen"/>
      <selection pane="bottomLeft" activeCell="J9" sqref="J9"/>
    </sheetView>
  </sheetViews>
  <sheetFormatPr defaultColWidth="8.6640625" defaultRowHeight="14.4" x14ac:dyDescent="0.3"/>
  <cols>
    <col min="1" max="1" width="16" customWidth="1"/>
    <col min="2" max="2" width="42" customWidth="1"/>
    <col min="3" max="4" width="16" customWidth="1"/>
    <col min="5" max="6" width="20" customWidth="1"/>
  </cols>
  <sheetData>
    <row r="1" spans="1:6" ht="21.75" customHeight="1" thickBot="1" x14ac:dyDescent="0.35">
      <c r="A1" s="34" t="s">
        <v>11</v>
      </c>
      <c r="B1" s="35"/>
      <c r="C1" s="35"/>
      <c r="D1" s="35"/>
      <c r="E1" s="35"/>
      <c r="F1" s="36"/>
    </row>
    <row r="2" spans="1:6" ht="27.75" customHeight="1" thickBot="1" x14ac:dyDescent="0.35">
      <c r="A2" s="37" t="s">
        <v>12</v>
      </c>
      <c r="B2" s="38"/>
      <c r="C2" s="38"/>
      <c r="D2" s="38"/>
      <c r="E2" s="38"/>
      <c r="F2" s="39"/>
    </row>
    <row r="3" spans="1:6" ht="63" customHeight="1" thickBot="1" x14ac:dyDescent="0.35">
      <c r="A3" s="25" t="s">
        <v>2</v>
      </c>
      <c r="B3" s="26" t="s">
        <v>13</v>
      </c>
      <c r="C3" s="27" t="s">
        <v>14</v>
      </c>
      <c r="D3" s="27" t="s">
        <v>15</v>
      </c>
      <c r="E3" s="27" t="s">
        <v>16</v>
      </c>
      <c r="F3" s="28" t="s">
        <v>17</v>
      </c>
    </row>
    <row r="4" spans="1:6" x14ac:dyDescent="0.3">
      <c r="A4" s="23">
        <v>1</v>
      </c>
      <c r="B4" s="24" t="s">
        <v>18</v>
      </c>
      <c r="C4" s="7">
        <v>2</v>
      </c>
      <c r="D4" s="7">
        <f t="shared" ref="D4:D22" si="0">COUNTIF($A$4:$A$22,A4)</f>
        <v>3</v>
      </c>
      <c r="E4" s="7">
        <f>SUMIF($A$4:$A$22,A4,$C$4:$C$22)</f>
        <v>7</v>
      </c>
      <c r="F4" s="29" t="str">
        <f t="shared" ref="F4:F22" si="1">IF(E4&gt;8,"Sí","No")</f>
        <v>No</v>
      </c>
    </row>
    <row r="5" spans="1:6" x14ac:dyDescent="0.3">
      <c r="A5" s="21">
        <v>1</v>
      </c>
      <c r="B5" s="20" t="s">
        <v>19</v>
      </c>
      <c r="C5" s="1">
        <v>3</v>
      </c>
      <c r="D5" s="1">
        <f t="shared" si="0"/>
        <v>3</v>
      </c>
      <c r="E5" s="1">
        <f t="shared" ref="E4:E22" si="2">SUMIF($A$4:$A$22,A5,$C$4:$C$22)</f>
        <v>7</v>
      </c>
      <c r="F5" s="30" t="str">
        <f t="shared" si="1"/>
        <v>No</v>
      </c>
    </row>
    <row r="6" spans="1:6" x14ac:dyDescent="0.3">
      <c r="A6" s="21">
        <v>1</v>
      </c>
      <c r="B6" s="20" t="s">
        <v>20</v>
      </c>
      <c r="C6" s="1">
        <v>2</v>
      </c>
      <c r="D6" s="1">
        <f t="shared" si="0"/>
        <v>3</v>
      </c>
      <c r="E6" s="1">
        <f t="shared" si="2"/>
        <v>7</v>
      </c>
      <c r="F6" s="30" t="str">
        <f t="shared" si="1"/>
        <v>No</v>
      </c>
    </row>
    <row r="7" spans="1:6" x14ac:dyDescent="0.3">
      <c r="A7" s="21">
        <v>2</v>
      </c>
      <c r="B7" s="20" t="s">
        <v>21</v>
      </c>
      <c r="C7" s="1">
        <v>3</v>
      </c>
      <c r="D7" s="1">
        <f t="shared" si="0"/>
        <v>2</v>
      </c>
      <c r="E7" s="1">
        <f t="shared" si="2"/>
        <v>5</v>
      </c>
      <c r="F7" s="30" t="str">
        <f t="shared" si="1"/>
        <v>No</v>
      </c>
    </row>
    <row r="8" spans="1:6" x14ac:dyDescent="0.3">
      <c r="A8" s="21">
        <v>2</v>
      </c>
      <c r="B8" s="20" t="s">
        <v>22</v>
      </c>
      <c r="C8" s="1">
        <v>2</v>
      </c>
      <c r="D8" s="1">
        <f t="shared" si="0"/>
        <v>2</v>
      </c>
      <c r="E8" s="1">
        <f t="shared" si="2"/>
        <v>5</v>
      </c>
      <c r="F8" s="30" t="str">
        <f t="shared" si="1"/>
        <v>No</v>
      </c>
    </row>
    <row r="9" spans="1:6" x14ac:dyDescent="0.3">
      <c r="A9" s="21">
        <v>3</v>
      </c>
      <c r="B9" s="20" t="s">
        <v>23</v>
      </c>
      <c r="C9" s="1">
        <v>2</v>
      </c>
      <c r="D9" s="1">
        <f t="shared" si="0"/>
        <v>1</v>
      </c>
      <c r="E9" s="1">
        <f t="shared" si="2"/>
        <v>2</v>
      </c>
      <c r="F9" s="30" t="str">
        <f t="shared" si="1"/>
        <v>No</v>
      </c>
    </row>
    <row r="10" spans="1:6" x14ac:dyDescent="0.3">
      <c r="A10" s="21">
        <v>4</v>
      </c>
      <c r="B10" s="20" t="s">
        <v>24</v>
      </c>
      <c r="C10" s="1">
        <v>3</v>
      </c>
      <c r="D10" s="1">
        <f t="shared" si="0"/>
        <v>3</v>
      </c>
      <c r="E10" s="1">
        <f t="shared" si="2"/>
        <v>7</v>
      </c>
      <c r="F10" s="30" t="str">
        <f t="shared" si="1"/>
        <v>No</v>
      </c>
    </row>
    <row r="11" spans="1:6" x14ac:dyDescent="0.3">
      <c r="A11" s="21">
        <v>4</v>
      </c>
      <c r="B11" s="20" t="s">
        <v>25</v>
      </c>
      <c r="C11" s="1">
        <v>2</v>
      </c>
      <c r="D11" s="1">
        <f t="shared" si="0"/>
        <v>3</v>
      </c>
      <c r="E11" s="1">
        <f t="shared" si="2"/>
        <v>7</v>
      </c>
      <c r="F11" s="30" t="str">
        <f t="shared" si="1"/>
        <v>No</v>
      </c>
    </row>
    <row r="12" spans="1:6" x14ac:dyDescent="0.3">
      <c r="A12" s="21">
        <v>4</v>
      </c>
      <c r="B12" s="20" t="s">
        <v>26</v>
      </c>
      <c r="C12" s="1">
        <v>2</v>
      </c>
      <c r="D12" s="1">
        <f t="shared" si="0"/>
        <v>3</v>
      </c>
      <c r="E12" s="1">
        <f t="shared" si="2"/>
        <v>7</v>
      </c>
      <c r="F12" s="30" t="str">
        <f t="shared" si="1"/>
        <v>No</v>
      </c>
    </row>
    <row r="13" spans="1:6" x14ac:dyDescent="0.3">
      <c r="A13" s="21">
        <v>5</v>
      </c>
      <c r="B13" s="20" t="s">
        <v>27</v>
      </c>
      <c r="C13" s="1">
        <v>2</v>
      </c>
      <c r="D13" s="1">
        <f t="shared" si="0"/>
        <v>1</v>
      </c>
      <c r="E13" s="1">
        <f t="shared" si="2"/>
        <v>2</v>
      </c>
      <c r="F13" s="30" t="str">
        <f t="shared" si="1"/>
        <v>No</v>
      </c>
    </row>
    <row r="14" spans="1:6" x14ac:dyDescent="0.3">
      <c r="A14" s="21">
        <v>6</v>
      </c>
      <c r="B14" s="20" t="s">
        <v>28</v>
      </c>
      <c r="C14" s="1">
        <v>4</v>
      </c>
      <c r="D14" s="1">
        <f t="shared" si="0"/>
        <v>2</v>
      </c>
      <c r="E14" s="1">
        <f t="shared" si="2"/>
        <v>6</v>
      </c>
      <c r="F14" s="30" t="str">
        <f t="shared" si="1"/>
        <v>No</v>
      </c>
    </row>
    <row r="15" spans="1:6" x14ac:dyDescent="0.3">
      <c r="A15" s="21">
        <v>6</v>
      </c>
      <c r="B15" s="20" t="s">
        <v>29</v>
      </c>
      <c r="C15" s="1">
        <v>2</v>
      </c>
      <c r="D15" s="1">
        <f t="shared" si="0"/>
        <v>2</v>
      </c>
      <c r="E15" s="1">
        <f t="shared" si="2"/>
        <v>6</v>
      </c>
      <c r="F15" s="30" t="str">
        <f t="shared" si="1"/>
        <v>No</v>
      </c>
    </row>
    <row r="16" spans="1:6" x14ac:dyDescent="0.3">
      <c r="A16" s="21">
        <v>7</v>
      </c>
      <c r="B16" s="20" t="s">
        <v>30</v>
      </c>
      <c r="C16" s="1">
        <v>5</v>
      </c>
      <c r="D16" s="1">
        <f t="shared" si="0"/>
        <v>2</v>
      </c>
      <c r="E16" s="1">
        <f t="shared" si="2"/>
        <v>7</v>
      </c>
      <c r="F16" s="30" t="str">
        <f t="shared" si="1"/>
        <v>No</v>
      </c>
    </row>
    <row r="17" spans="1:6" x14ac:dyDescent="0.3">
      <c r="A17" s="21">
        <v>7</v>
      </c>
      <c r="B17" s="20" t="s">
        <v>31</v>
      </c>
      <c r="C17" s="1">
        <v>2</v>
      </c>
      <c r="D17" s="1">
        <f t="shared" si="0"/>
        <v>2</v>
      </c>
      <c r="E17" s="1">
        <f t="shared" si="2"/>
        <v>7</v>
      </c>
      <c r="F17" s="30" t="str">
        <f t="shared" si="1"/>
        <v>No</v>
      </c>
    </row>
    <row r="18" spans="1:6" x14ac:dyDescent="0.3">
      <c r="A18" s="21">
        <v>8</v>
      </c>
      <c r="B18" s="20" t="s">
        <v>32</v>
      </c>
      <c r="C18" s="1">
        <v>2</v>
      </c>
      <c r="D18" s="1">
        <f t="shared" si="0"/>
        <v>1</v>
      </c>
      <c r="E18" s="1">
        <f t="shared" si="2"/>
        <v>2</v>
      </c>
      <c r="F18" s="30" t="str">
        <f t="shared" si="1"/>
        <v>No</v>
      </c>
    </row>
    <row r="19" spans="1:6" x14ac:dyDescent="0.3">
      <c r="A19" s="21">
        <v>9</v>
      </c>
      <c r="B19" s="20" t="s">
        <v>33</v>
      </c>
      <c r="C19" s="1">
        <v>3</v>
      </c>
      <c r="D19" s="1">
        <f t="shared" si="0"/>
        <v>1</v>
      </c>
      <c r="E19" s="1">
        <f t="shared" si="2"/>
        <v>3</v>
      </c>
      <c r="F19" s="30" t="str">
        <f t="shared" si="1"/>
        <v>No</v>
      </c>
    </row>
    <row r="20" spans="1:6" x14ac:dyDescent="0.3">
      <c r="A20" s="21">
        <v>10</v>
      </c>
      <c r="B20" s="20" t="s">
        <v>34</v>
      </c>
      <c r="C20" s="1">
        <v>2</v>
      </c>
      <c r="D20" s="1">
        <f t="shared" si="0"/>
        <v>2</v>
      </c>
      <c r="E20" s="1">
        <f t="shared" si="2"/>
        <v>4</v>
      </c>
      <c r="F20" s="30" t="str">
        <f t="shared" si="1"/>
        <v>No</v>
      </c>
    </row>
    <row r="21" spans="1:6" x14ac:dyDescent="0.3">
      <c r="A21" s="21">
        <v>10</v>
      </c>
      <c r="B21" s="20" t="s">
        <v>35</v>
      </c>
      <c r="C21" s="1">
        <v>2</v>
      </c>
      <c r="D21" s="1">
        <f t="shared" si="0"/>
        <v>2</v>
      </c>
      <c r="E21" s="1">
        <f t="shared" si="2"/>
        <v>4</v>
      </c>
      <c r="F21" s="30" t="str">
        <f t="shared" si="1"/>
        <v>No</v>
      </c>
    </row>
    <row r="22" spans="1:6" ht="15" thickBot="1" x14ac:dyDescent="0.35">
      <c r="A22" s="22">
        <v>11</v>
      </c>
      <c r="B22" s="31" t="s">
        <v>36</v>
      </c>
      <c r="C22" s="32">
        <v>4</v>
      </c>
      <c r="D22" s="32">
        <f t="shared" si="0"/>
        <v>1</v>
      </c>
      <c r="E22" s="32">
        <f t="shared" si="2"/>
        <v>4</v>
      </c>
      <c r="F22" s="33" t="str">
        <f t="shared" si="1"/>
        <v>No</v>
      </c>
    </row>
  </sheetData>
  <mergeCells count="2">
    <mergeCell ref="A1:F1"/>
    <mergeCell ref="A2:F2"/>
  </mergeCells>
  <conditionalFormatting sqref="E4:E22">
    <cfRule type="cellIs" dxfId="9" priority="2" operator="greaterThan">
      <formula>8</formula>
    </cfRule>
  </conditionalFormatting>
  <conditionalFormatting sqref="F4:F22">
    <cfRule type="cellIs" dxfId="8" priority="3" operator="equal">
      <formula>"Sí"</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
  <sheetViews>
    <sheetView zoomScaleNormal="100" workbookViewId="0">
      <pane ySplit="3" topLeftCell="A4" activePane="bottomLeft" state="frozen"/>
      <selection pane="bottomLeft" activeCell="G4" sqref="G4"/>
    </sheetView>
  </sheetViews>
  <sheetFormatPr defaultColWidth="8.6640625" defaultRowHeight="14.4" x14ac:dyDescent="0.3"/>
  <cols>
    <col min="1" max="1" width="16" customWidth="1"/>
    <col min="2" max="2" width="42" customWidth="1"/>
    <col min="3" max="4" width="16" customWidth="1"/>
    <col min="5" max="6" width="20" customWidth="1"/>
  </cols>
  <sheetData>
    <row r="1" spans="1:6" ht="21.75" customHeight="1" thickBot="1" x14ac:dyDescent="0.35">
      <c r="A1" s="34" t="s">
        <v>37</v>
      </c>
      <c r="B1" s="35"/>
      <c r="C1" s="35"/>
      <c r="D1" s="35"/>
      <c r="E1" s="35"/>
      <c r="F1" s="36"/>
    </row>
    <row r="2" spans="1:6" ht="27.75" customHeight="1" thickBot="1" x14ac:dyDescent="0.35">
      <c r="A2" s="37" t="s">
        <v>38</v>
      </c>
      <c r="B2" s="38"/>
      <c r="C2" s="38"/>
      <c r="D2" s="38"/>
      <c r="E2" s="38"/>
      <c r="F2" s="39"/>
    </row>
    <row r="3" spans="1:6" ht="60" customHeight="1" thickBot="1" x14ac:dyDescent="0.35">
      <c r="A3" s="25" t="s">
        <v>2</v>
      </c>
      <c r="B3" s="26" t="s">
        <v>13</v>
      </c>
      <c r="C3" s="27" t="s">
        <v>14</v>
      </c>
      <c r="D3" s="27" t="s">
        <v>15</v>
      </c>
      <c r="E3" s="27" t="s">
        <v>16</v>
      </c>
      <c r="F3" s="28" t="s">
        <v>17</v>
      </c>
    </row>
    <row r="4" spans="1:6" x14ac:dyDescent="0.3">
      <c r="A4" s="23">
        <v>1</v>
      </c>
      <c r="B4" s="24" t="s">
        <v>39</v>
      </c>
      <c r="C4" s="7">
        <v>2</v>
      </c>
      <c r="D4" s="7">
        <f t="shared" ref="D4:D23" si="0">COUNTIF($A$4:$A$23,A4)</f>
        <v>2</v>
      </c>
      <c r="E4" s="7">
        <f t="shared" ref="E4:E23" si="1">SUMIF($A$4:$A$23,A4,$C$4:$C$23)</f>
        <v>5</v>
      </c>
      <c r="F4" s="29" t="str">
        <f t="shared" ref="F4:F23" si="2">IF(E4&gt;8,"Sí","No")</f>
        <v>No</v>
      </c>
    </row>
    <row r="5" spans="1:6" x14ac:dyDescent="0.3">
      <c r="A5" s="21">
        <v>1</v>
      </c>
      <c r="B5" s="20" t="s">
        <v>40</v>
      </c>
      <c r="C5" s="1">
        <v>3</v>
      </c>
      <c r="D5" s="1">
        <f t="shared" si="0"/>
        <v>2</v>
      </c>
      <c r="E5" s="1">
        <f t="shared" si="1"/>
        <v>5</v>
      </c>
      <c r="F5" s="30" t="str">
        <f t="shared" si="2"/>
        <v>No</v>
      </c>
    </row>
    <row r="6" spans="1:6" x14ac:dyDescent="0.3">
      <c r="A6" s="21">
        <v>2</v>
      </c>
      <c r="B6" s="20" t="s">
        <v>41</v>
      </c>
      <c r="C6" s="1">
        <v>2</v>
      </c>
      <c r="D6" s="1">
        <f t="shared" si="0"/>
        <v>3</v>
      </c>
      <c r="E6" s="1">
        <f t="shared" si="1"/>
        <v>7</v>
      </c>
      <c r="F6" s="30" t="str">
        <f t="shared" si="2"/>
        <v>No</v>
      </c>
    </row>
    <row r="7" spans="1:6" x14ac:dyDescent="0.3">
      <c r="A7" s="21">
        <v>2</v>
      </c>
      <c r="B7" s="20" t="s">
        <v>42</v>
      </c>
      <c r="C7" s="1">
        <v>2</v>
      </c>
      <c r="D7" s="1">
        <f t="shared" si="0"/>
        <v>3</v>
      </c>
      <c r="E7" s="1">
        <f t="shared" si="1"/>
        <v>7</v>
      </c>
      <c r="F7" s="30" t="str">
        <f t="shared" si="2"/>
        <v>No</v>
      </c>
    </row>
    <row r="8" spans="1:6" x14ac:dyDescent="0.3">
      <c r="A8" s="21">
        <v>2</v>
      </c>
      <c r="B8" s="20" t="s">
        <v>43</v>
      </c>
      <c r="C8" s="1">
        <v>3</v>
      </c>
      <c r="D8" s="1">
        <f t="shared" si="0"/>
        <v>3</v>
      </c>
      <c r="E8" s="1">
        <f t="shared" si="1"/>
        <v>7</v>
      </c>
      <c r="F8" s="30" t="str">
        <f t="shared" si="2"/>
        <v>No</v>
      </c>
    </row>
    <row r="9" spans="1:6" x14ac:dyDescent="0.3">
      <c r="A9" s="21">
        <v>3</v>
      </c>
      <c r="B9" s="20" t="s">
        <v>40</v>
      </c>
      <c r="C9" s="1">
        <v>2</v>
      </c>
      <c r="D9" s="1">
        <f t="shared" si="0"/>
        <v>2</v>
      </c>
      <c r="E9" s="1">
        <f t="shared" si="1"/>
        <v>5</v>
      </c>
      <c r="F9" s="30" t="str">
        <f t="shared" si="2"/>
        <v>No</v>
      </c>
    </row>
    <row r="10" spans="1:6" x14ac:dyDescent="0.3">
      <c r="A10" s="21">
        <v>3</v>
      </c>
      <c r="B10" s="20" t="s">
        <v>44</v>
      </c>
      <c r="C10" s="1">
        <v>3</v>
      </c>
      <c r="D10" s="1">
        <f t="shared" si="0"/>
        <v>2</v>
      </c>
      <c r="E10" s="1">
        <f t="shared" si="1"/>
        <v>5</v>
      </c>
      <c r="F10" s="30" t="str">
        <f t="shared" si="2"/>
        <v>No</v>
      </c>
    </row>
    <row r="11" spans="1:6" x14ac:dyDescent="0.3">
      <c r="A11" s="21">
        <v>4</v>
      </c>
      <c r="B11" s="20" t="s">
        <v>45</v>
      </c>
      <c r="C11" s="1">
        <v>2</v>
      </c>
      <c r="D11" s="1">
        <f t="shared" si="0"/>
        <v>2</v>
      </c>
      <c r="E11" s="1">
        <f t="shared" si="1"/>
        <v>4</v>
      </c>
      <c r="F11" s="30" t="str">
        <f t="shared" si="2"/>
        <v>No</v>
      </c>
    </row>
    <row r="12" spans="1:6" x14ac:dyDescent="0.3">
      <c r="A12" s="21">
        <v>4</v>
      </c>
      <c r="B12" s="20" t="s">
        <v>46</v>
      </c>
      <c r="C12" s="1">
        <v>2</v>
      </c>
      <c r="D12" s="1">
        <f t="shared" si="0"/>
        <v>2</v>
      </c>
      <c r="E12" s="1">
        <f t="shared" si="1"/>
        <v>4</v>
      </c>
      <c r="F12" s="30" t="str">
        <f t="shared" si="2"/>
        <v>No</v>
      </c>
    </row>
    <row r="13" spans="1:6" x14ac:dyDescent="0.3">
      <c r="A13" s="21">
        <v>5</v>
      </c>
      <c r="B13" s="20" t="s">
        <v>47</v>
      </c>
      <c r="C13" s="1">
        <v>3</v>
      </c>
      <c r="D13" s="1">
        <f t="shared" si="0"/>
        <v>2</v>
      </c>
      <c r="E13" s="1">
        <f t="shared" si="1"/>
        <v>5</v>
      </c>
      <c r="F13" s="30" t="str">
        <f t="shared" si="2"/>
        <v>No</v>
      </c>
    </row>
    <row r="14" spans="1:6" x14ac:dyDescent="0.3">
      <c r="A14" s="21">
        <v>5</v>
      </c>
      <c r="B14" s="20" t="s">
        <v>48</v>
      </c>
      <c r="C14" s="1">
        <v>2</v>
      </c>
      <c r="D14" s="1">
        <f t="shared" si="0"/>
        <v>2</v>
      </c>
      <c r="E14" s="1">
        <f t="shared" si="1"/>
        <v>5</v>
      </c>
      <c r="F14" s="30" t="str">
        <f t="shared" si="2"/>
        <v>No</v>
      </c>
    </row>
    <row r="15" spans="1:6" x14ac:dyDescent="0.3">
      <c r="A15" s="21">
        <v>6</v>
      </c>
      <c r="B15" s="20" t="s">
        <v>49</v>
      </c>
      <c r="C15" s="1">
        <v>3</v>
      </c>
      <c r="D15" s="1">
        <f t="shared" si="0"/>
        <v>2</v>
      </c>
      <c r="E15" s="1">
        <f t="shared" si="1"/>
        <v>5</v>
      </c>
      <c r="F15" s="30" t="str">
        <f t="shared" si="2"/>
        <v>No</v>
      </c>
    </row>
    <row r="16" spans="1:6" x14ac:dyDescent="0.3">
      <c r="A16" s="21">
        <v>6</v>
      </c>
      <c r="B16" s="20" t="s">
        <v>50</v>
      </c>
      <c r="C16" s="1">
        <v>2</v>
      </c>
      <c r="D16" s="1">
        <f t="shared" si="0"/>
        <v>2</v>
      </c>
      <c r="E16" s="1">
        <f t="shared" si="1"/>
        <v>5</v>
      </c>
      <c r="F16" s="30" t="str">
        <f t="shared" si="2"/>
        <v>No</v>
      </c>
    </row>
    <row r="17" spans="1:6" x14ac:dyDescent="0.3">
      <c r="A17" s="21">
        <v>7</v>
      </c>
      <c r="B17" s="20" t="s">
        <v>46</v>
      </c>
      <c r="C17" s="1">
        <v>4</v>
      </c>
      <c r="D17" s="1">
        <f t="shared" si="0"/>
        <v>1</v>
      </c>
      <c r="E17" s="1">
        <f t="shared" si="1"/>
        <v>4</v>
      </c>
      <c r="F17" s="30" t="str">
        <f t="shared" si="2"/>
        <v>No</v>
      </c>
    </row>
    <row r="18" spans="1:6" x14ac:dyDescent="0.3">
      <c r="A18" s="21">
        <v>8</v>
      </c>
      <c r="B18" s="20" t="s">
        <v>47</v>
      </c>
      <c r="C18" s="1">
        <v>2</v>
      </c>
      <c r="D18" s="1">
        <f t="shared" si="0"/>
        <v>2</v>
      </c>
      <c r="E18" s="1">
        <f t="shared" si="1"/>
        <v>6</v>
      </c>
      <c r="F18" s="30" t="str">
        <f t="shared" si="2"/>
        <v>No</v>
      </c>
    </row>
    <row r="19" spans="1:6" x14ac:dyDescent="0.3">
      <c r="A19" s="21">
        <v>8</v>
      </c>
      <c r="B19" s="20" t="s">
        <v>48</v>
      </c>
      <c r="C19" s="1">
        <v>4</v>
      </c>
      <c r="D19" s="1">
        <f t="shared" si="0"/>
        <v>2</v>
      </c>
      <c r="E19" s="1">
        <f t="shared" si="1"/>
        <v>6</v>
      </c>
      <c r="F19" s="30" t="str">
        <f t="shared" si="2"/>
        <v>No</v>
      </c>
    </row>
    <row r="20" spans="1:6" x14ac:dyDescent="0.3">
      <c r="A20" s="21">
        <v>9</v>
      </c>
      <c r="B20" s="20" t="s">
        <v>51</v>
      </c>
      <c r="C20" s="1">
        <v>2</v>
      </c>
      <c r="D20" s="1">
        <f t="shared" si="0"/>
        <v>1</v>
      </c>
      <c r="E20" s="1">
        <f t="shared" si="1"/>
        <v>2</v>
      </c>
      <c r="F20" s="30" t="str">
        <f t="shared" si="2"/>
        <v>No</v>
      </c>
    </row>
    <row r="21" spans="1:6" x14ac:dyDescent="0.3">
      <c r="A21" s="21">
        <v>10</v>
      </c>
      <c r="B21" s="20" t="s">
        <v>52</v>
      </c>
      <c r="C21" s="1">
        <v>3</v>
      </c>
      <c r="D21" s="1">
        <f t="shared" si="0"/>
        <v>1</v>
      </c>
      <c r="E21" s="1">
        <f t="shared" si="1"/>
        <v>3</v>
      </c>
      <c r="F21" s="30" t="str">
        <f t="shared" si="2"/>
        <v>No</v>
      </c>
    </row>
    <row r="22" spans="1:6" x14ac:dyDescent="0.3">
      <c r="A22" s="21">
        <v>11</v>
      </c>
      <c r="B22" s="20" t="s">
        <v>53</v>
      </c>
      <c r="C22" s="1">
        <v>1</v>
      </c>
      <c r="D22" s="1">
        <f t="shared" si="0"/>
        <v>2</v>
      </c>
      <c r="E22" s="1">
        <f t="shared" si="1"/>
        <v>2</v>
      </c>
      <c r="F22" s="30" t="str">
        <f t="shared" si="2"/>
        <v>No</v>
      </c>
    </row>
    <row r="23" spans="1:6" ht="15" thickBot="1" x14ac:dyDescent="0.35">
      <c r="A23" s="22">
        <v>11</v>
      </c>
      <c r="B23" s="31" t="s">
        <v>54</v>
      </c>
      <c r="C23" s="32">
        <v>1</v>
      </c>
      <c r="D23" s="32">
        <f t="shared" si="0"/>
        <v>2</v>
      </c>
      <c r="E23" s="32">
        <f t="shared" si="1"/>
        <v>2</v>
      </c>
      <c r="F23" s="33" t="str">
        <f t="shared" si="2"/>
        <v>No</v>
      </c>
    </row>
  </sheetData>
  <mergeCells count="2">
    <mergeCell ref="A1:F1"/>
    <mergeCell ref="A2:F2"/>
  </mergeCells>
  <conditionalFormatting sqref="E4:E23">
    <cfRule type="cellIs" dxfId="7" priority="2" operator="greaterThan">
      <formula>8</formula>
    </cfRule>
  </conditionalFormatting>
  <conditionalFormatting sqref="F4:F23">
    <cfRule type="cellIs" dxfId="6" priority="3" operator="equal">
      <formula>"Sí"</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zoomScaleNormal="100" workbookViewId="0">
      <pane ySplit="3" topLeftCell="A4" activePane="bottomLeft" state="frozen"/>
      <selection pane="bottomLeft" activeCell="A2" sqref="A2:F2"/>
    </sheetView>
  </sheetViews>
  <sheetFormatPr defaultColWidth="8.6640625" defaultRowHeight="14.4" x14ac:dyDescent="0.3"/>
  <cols>
    <col min="1" max="1" width="16" customWidth="1"/>
    <col min="2" max="2" width="42" customWidth="1"/>
    <col min="3" max="4" width="16" customWidth="1"/>
    <col min="5" max="6" width="20" customWidth="1"/>
  </cols>
  <sheetData>
    <row r="1" spans="1:6" ht="21.75" customHeight="1" thickBot="1" x14ac:dyDescent="0.35">
      <c r="A1" s="34" t="s">
        <v>55</v>
      </c>
      <c r="B1" s="35"/>
      <c r="C1" s="35"/>
      <c r="D1" s="35"/>
      <c r="E1" s="35"/>
      <c r="F1" s="36"/>
    </row>
    <row r="2" spans="1:6" ht="27.75" customHeight="1" thickBot="1" x14ac:dyDescent="0.35">
      <c r="A2" s="37" t="s">
        <v>56</v>
      </c>
      <c r="B2" s="38"/>
      <c r="C2" s="38"/>
      <c r="D2" s="38"/>
      <c r="E2" s="38"/>
      <c r="F2" s="39"/>
    </row>
    <row r="3" spans="1:6" ht="60" customHeight="1" thickBot="1" x14ac:dyDescent="0.35">
      <c r="A3" s="25" t="s">
        <v>2</v>
      </c>
      <c r="B3" s="26" t="s">
        <v>13</v>
      </c>
      <c r="C3" s="27" t="s">
        <v>14</v>
      </c>
      <c r="D3" s="27" t="s">
        <v>15</v>
      </c>
      <c r="E3" s="27" t="s">
        <v>16</v>
      </c>
      <c r="F3" s="28" t="s">
        <v>17</v>
      </c>
    </row>
    <row r="4" spans="1:6" x14ac:dyDescent="0.3">
      <c r="A4" s="23">
        <v>1</v>
      </c>
      <c r="B4" s="24" t="s">
        <v>50</v>
      </c>
      <c r="C4" s="7">
        <v>2</v>
      </c>
      <c r="D4" s="7">
        <f t="shared" ref="D4:D22" si="0">COUNTIF($A$4:$A$22,A4)</f>
        <v>3</v>
      </c>
      <c r="E4" s="7">
        <f t="shared" ref="E4:E22" si="1">SUMIF($A$4:$A$22,A4,$C$4:$C$22)</f>
        <v>7</v>
      </c>
      <c r="F4" s="29" t="str">
        <f t="shared" ref="F4:F22" si="2">IF(E4&gt;8,"Sí","No")</f>
        <v>No</v>
      </c>
    </row>
    <row r="5" spans="1:6" x14ac:dyDescent="0.3">
      <c r="A5" s="21">
        <v>1</v>
      </c>
      <c r="B5" s="20" t="s">
        <v>57</v>
      </c>
      <c r="C5" s="1">
        <v>3</v>
      </c>
      <c r="D5" s="1">
        <f t="shared" si="0"/>
        <v>3</v>
      </c>
      <c r="E5" s="1">
        <f t="shared" si="1"/>
        <v>7</v>
      </c>
      <c r="F5" s="30" t="str">
        <f t="shared" si="2"/>
        <v>No</v>
      </c>
    </row>
    <row r="6" spans="1:6" x14ac:dyDescent="0.3">
      <c r="A6" s="21">
        <v>1</v>
      </c>
      <c r="B6" s="20" t="s">
        <v>58</v>
      </c>
      <c r="C6" s="1">
        <v>2</v>
      </c>
      <c r="D6" s="1">
        <f t="shared" si="0"/>
        <v>3</v>
      </c>
      <c r="E6" s="1">
        <f t="shared" si="1"/>
        <v>7</v>
      </c>
      <c r="F6" s="30" t="str">
        <f t="shared" si="2"/>
        <v>No</v>
      </c>
    </row>
    <row r="7" spans="1:6" x14ac:dyDescent="0.3">
      <c r="A7" s="21">
        <v>2</v>
      </c>
      <c r="B7" s="20" t="s">
        <v>59</v>
      </c>
      <c r="C7" s="1">
        <v>2</v>
      </c>
      <c r="D7" s="1">
        <f t="shared" si="0"/>
        <v>2</v>
      </c>
      <c r="E7" s="1">
        <f t="shared" si="1"/>
        <v>4</v>
      </c>
      <c r="F7" s="30" t="str">
        <f t="shared" si="2"/>
        <v>No</v>
      </c>
    </row>
    <row r="8" spans="1:6" x14ac:dyDescent="0.3">
      <c r="A8" s="21">
        <v>2</v>
      </c>
      <c r="B8" s="20" t="s">
        <v>60</v>
      </c>
      <c r="C8" s="1">
        <v>2</v>
      </c>
      <c r="D8" s="1">
        <f t="shared" si="0"/>
        <v>2</v>
      </c>
      <c r="E8" s="1">
        <f t="shared" si="1"/>
        <v>4</v>
      </c>
      <c r="F8" s="30" t="str">
        <f t="shared" si="2"/>
        <v>No</v>
      </c>
    </row>
    <row r="9" spans="1:6" x14ac:dyDescent="0.3">
      <c r="A9" s="21">
        <v>3</v>
      </c>
      <c r="B9" s="20" t="s">
        <v>50</v>
      </c>
      <c r="C9" s="1">
        <v>2</v>
      </c>
      <c r="D9" s="1">
        <f t="shared" si="0"/>
        <v>1</v>
      </c>
      <c r="E9" s="1">
        <f t="shared" si="1"/>
        <v>2</v>
      </c>
      <c r="F9" s="30" t="str">
        <f t="shared" si="2"/>
        <v>No</v>
      </c>
    </row>
    <row r="10" spans="1:6" x14ac:dyDescent="0.3">
      <c r="A10" s="21">
        <v>4</v>
      </c>
      <c r="B10" s="20" t="s">
        <v>61</v>
      </c>
      <c r="C10" s="1">
        <v>3</v>
      </c>
      <c r="D10" s="1">
        <f t="shared" si="0"/>
        <v>3</v>
      </c>
      <c r="E10" s="1">
        <f t="shared" si="1"/>
        <v>7</v>
      </c>
      <c r="F10" s="30" t="str">
        <f t="shared" si="2"/>
        <v>No</v>
      </c>
    </row>
    <row r="11" spans="1:6" x14ac:dyDescent="0.3">
      <c r="A11" s="21">
        <v>4</v>
      </c>
      <c r="B11" s="20" t="s">
        <v>62</v>
      </c>
      <c r="C11" s="1">
        <v>2</v>
      </c>
      <c r="D11" s="1">
        <f t="shared" si="0"/>
        <v>3</v>
      </c>
      <c r="E11" s="1">
        <f t="shared" si="1"/>
        <v>7</v>
      </c>
      <c r="F11" s="30" t="str">
        <f t="shared" si="2"/>
        <v>No</v>
      </c>
    </row>
    <row r="12" spans="1:6" x14ac:dyDescent="0.3">
      <c r="A12" s="21">
        <v>4</v>
      </c>
      <c r="B12" s="20" t="s">
        <v>63</v>
      </c>
      <c r="C12" s="1">
        <v>2</v>
      </c>
      <c r="D12" s="1">
        <f t="shared" si="0"/>
        <v>3</v>
      </c>
      <c r="E12" s="1">
        <f t="shared" si="1"/>
        <v>7</v>
      </c>
      <c r="F12" s="30" t="str">
        <f t="shared" si="2"/>
        <v>No</v>
      </c>
    </row>
    <row r="13" spans="1:6" x14ac:dyDescent="0.3">
      <c r="A13" s="21">
        <v>5</v>
      </c>
      <c r="B13" s="20" t="s">
        <v>64</v>
      </c>
      <c r="C13" s="1">
        <v>2</v>
      </c>
      <c r="D13" s="1">
        <f t="shared" si="0"/>
        <v>1</v>
      </c>
      <c r="E13" s="1">
        <f t="shared" si="1"/>
        <v>2</v>
      </c>
      <c r="F13" s="30" t="str">
        <f t="shared" si="2"/>
        <v>No</v>
      </c>
    </row>
    <row r="14" spans="1:6" x14ac:dyDescent="0.3">
      <c r="A14" s="21">
        <v>6</v>
      </c>
      <c r="B14" s="20" t="s">
        <v>62</v>
      </c>
      <c r="C14" s="1">
        <v>5</v>
      </c>
      <c r="D14" s="1">
        <f t="shared" si="0"/>
        <v>2</v>
      </c>
      <c r="E14" s="1">
        <f t="shared" si="1"/>
        <v>7</v>
      </c>
      <c r="F14" s="30" t="str">
        <f t="shared" si="2"/>
        <v>No</v>
      </c>
    </row>
    <row r="15" spans="1:6" x14ac:dyDescent="0.3">
      <c r="A15" s="21">
        <v>6</v>
      </c>
      <c r="B15" s="20" t="s">
        <v>63</v>
      </c>
      <c r="C15" s="1">
        <v>2</v>
      </c>
      <c r="D15" s="1">
        <f t="shared" si="0"/>
        <v>2</v>
      </c>
      <c r="E15" s="1">
        <f t="shared" si="1"/>
        <v>7</v>
      </c>
      <c r="F15" s="30" t="str">
        <f t="shared" si="2"/>
        <v>No</v>
      </c>
    </row>
    <row r="16" spans="1:6" x14ac:dyDescent="0.3">
      <c r="A16" s="21">
        <v>7</v>
      </c>
      <c r="B16" s="20" t="s">
        <v>65</v>
      </c>
      <c r="C16" s="1">
        <v>4</v>
      </c>
      <c r="D16" s="1">
        <f t="shared" si="0"/>
        <v>2</v>
      </c>
      <c r="E16" s="1">
        <f t="shared" si="1"/>
        <v>6</v>
      </c>
      <c r="F16" s="30" t="str">
        <f t="shared" si="2"/>
        <v>No</v>
      </c>
    </row>
    <row r="17" spans="1:6" x14ac:dyDescent="0.3">
      <c r="A17" s="21">
        <v>7</v>
      </c>
      <c r="B17" s="20" t="s">
        <v>62</v>
      </c>
      <c r="C17" s="1">
        <v>2</v>
      </c>
      <c r="D17" s="1">
        <f t="shared" si="0"/>
        <v>2</v>
      </c>
      <c r="E17" s="1">
        <f t="shared" si="1"/>
        <v>6</v>
      </c>
      <c r="F17" s="30" t="str">
        <f t="shared" si="2"/>
        <v>No</v>
      </c>
    </row>
    <row r="18" spans="1:6" x14ac:dyDescent="0.3">
      <c r="A18" s="21">
        <v>8</v>
      </c>
      <c r="B18" s="20" t="s">
        <v>66</v>
      </c>
      <c r="C18" s="1">
        <v>2</v>
      </c>
      <c r="D18" s="1">
        <f t="shared" si="0"/>
        <v>1</v>
      </c>
      <c r="E18" s="1">
        <f t="shared" si="1"/>
        <v>2</v>
      </c>
      <c r="F18" s="30" t="str">
        <f t="shared" si="2"/>
        <v>No</v>
      </c>
    </row>
    <row r="19" spans="1:6" x14ac:dyDescent="0.3">
      <c r="A19" s="21">
        <v>9</v>
      </c>
      <c r="B19" s="20" t="s">
        <v>67</v>
      </c>
      <c r="C19" s="1">
        <v>3</v>
      </c>
      <c r="D19" s="1">
        <f t="shared" si="0"/>
        <v>1</v>
      </c>
      <c r="E19" s="1">
        <f t="shared" si="1"/>
        <v>3</v>
      </c>
      <c r="F19" s="30" t="str">
        <f t="shared" si="2"/>
        <v>No</v>
      </c>
    </row>
    <row r="20" spans="1:6" x14ac:dyDescent="0.3">
      <c r="A20" s="21">
        <v>10</v>
      </c>
      <c r="B20" s="20" t="s">
        <v>62</v>
      </c>
      <c r="C20" s="1">
        <v>2</v>
      </c>
      <c r="D20" s="1">
        <f t="shared" si="0"/>
        <v>2</v>
      </c>
      <c r="E20" s="1">
        <f t="shared" si="1"/>
        <v>5</v>
      </c>
      <c r="F20" s="30" t="str">
        <f t="shared" si="2"/>
        <v>No</v>
      </c>
    </row>
    <row r="21" spans="1:6" x14ac:dyDescent="0.3">
      <c r="A21" s="21">
        <v>10</v>
      </c>
      <c r="B21" s="20" t="s">
        <v>63</v>
      </c>
      <c r="C21" s="1">
        <v>3</v>
      </c>
      <c r="D21" s="1">
        <f t="shared" si="0"/>
        <v>2</v>
      </c>
      <c r="E21" s="1">
        <f t="shared" si="1"/>
        <v>5</v>
      </c>
      <c r="F21" s="30" t="str">
        <f t="shared" si="2"/>
        <v>No</v>
      </c>
    </row>
    <row r="22" spans="1:6" ht="15" thickBot="1" x14ac:dyDescent="0.35">
      <c r="A22" s="22">
        <v>11</v>
      </c>
      <c r="B22" s="31" t="s">
        <v>68</v>
      </c>
      <c r="C22" s="32">
        <v>1</v>
      </c>
      <c r="D22" s="32">
        <f t="shared" si="0"/>
        <v>1</v>
      </c>
      <c r="E22" s="32">
        <f t="shared" si="1"/>
        <v>1</v>
      </c>
      <c r="F22" s="33" t="str">
        <f t="shared" si="2"/>
        <v>No</v>
      </c>
    </row>
  </sheetData>
  <mergeCells count="2">
    <mergeCell ref="A1:F1"/>
    <mergeCell ref="A2:F2"/>
  </mergeCells>
  <conditionalFormatting sqref="E4:E22">
    <cfRule type="cellIs" dxfId="5" priority="2" operator="greaterThan">
      <formula>8</formula>
    </cfRule>
  </conditionalFormatting>
  <conditionalFormatting sqref="F4:F22">
    <cfRule type="cellIs" dxfId="4" priority="3" operator="equal">
      <formula>"Sí"</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zoomScaleNormal="100" workbookViewId="0">
      <pane ySplit="3" topLeftCell="A4" activePane="bottomLeft" state="frozen"/>
      <selection pane="bottomLeft" activeCell="A3" sqref="A3"/>
    </sheetView>
  </sheetViews>
  <sheetFormatPr defaultColWidth="8.6640625" defaultRowHeight="14.4" x14ac:dyDescent="0.3"/>
  <cols>
    <col min="1" max="1" width="16" customWidth="1"/>
    <col min="2" max="2" width="42" customWidth="1"/>
    <col min="3" max="4" width="16" customWidth="1"/>
    <col min="5" max="6" width="20" customWidth="1"/>
  </cols>
  <sheetData>
    <row r="1" spans="1:6" ht="21.75" customHeight="1" thickBot="1" x14ac:dyDescent="0.35">
      <c r="A1" s="34" t="s">
        <v>69</v>
      </c>
      <c r="B1" s="35"/>
      <c r="C1" s="35"/>
      <c r="D1" s="35"/>
      <c r="E1" s="35"/>
      <c r="F1" s="36"/>
    </row>
    <row r="2" spans="1:6" ht="27.75" customHeight="1" thickBot="1" x14ac:dyDescent="0.35">
      <c r="A2" s="51" t="s">
        <v>70</v>
      </c>
      <c r="B2" s="52"/>
      <c r="C2" s="52"/>
      <c r="D2" s="52"/>
      <c r="E2" s="52"/>
      <c r="F2" s="53"/>
    </row>
    <row r="3" spans="1:6" ht="58.8" customHeight="1" thickBot="1" x14ac:dyDescent="0.35">
      <c r="A3" s="25" t="s">
        <v>2</v>
      </c>
      <c r="B3" s="26" t="s">
        <v>13</v>
      </c>
      <c r="C3" s="27" t="s">
        <v>14</v>
      </c>
      <c r="D3" s="27" t="s">
        <v>15</v>
      </c>
      <c r="E3" s="27" t="s">
        <v>16</v>
      </c>
      <c r="F3" s="28" t="s">
        <v>17</v>
      </c>
    </row>
    <row r="4" spans="1:6" x14ac:dyDescent="0.3">
      <c r="A4" s="23">
        <v>1</v>
      </c>
      <c r="B4" s="24" t="s">
        <v>71</v>
      </c>
      <c r="C4" s="7">
        <v>2</v>
      </c>
      <c r="D4" s="7">
        <f t="shared" ref="D4:D23" si="0">COUNTIF($A$4:$A$23,A4)</f>
        <v>2</v>
      </c>
      <c r="E4" s="7">
        <f t="shared" ref="E4:E23" si="1">SUMIF($A$4:$A$23,A4,$C$4:$C$23)</f>
        <v>6</v>
      </c>
      <c r="F4" s="29" t="str">
        <f t="shared" ref="F4:F23" si="2">IF(E4&gt;8,"Sí","No")</f>
        <v>No</v>
      </c>
    </row>
    <row r="5" spans="1:6" x14ac:dyDescent="0.3">
      <c r="A5" s="21">
        <v>1</v>
      </c>
      <c r="B5" s="20" t="s">
        <v>72</v>
      </c>
      <c r="C5" s="1">
        <v>4</v>
      </c>
      <c r="D5" s="1">
        <f t="shared" si="0"/>
        <v>2</v>
      </c>
      <c r="E5" s="1">
        <f t="shared" si="1"/>
        <v>6</v>
      </c>
      <c r="F5" s="30" t="str">
        <f t="shared" si="2"/>
        <v>No</v>
      </c>
    </row>
    <row r="6" spans="1:6" x14ac:dyDescent="0.3">
      <c r="A6" s="21">
        <v>2</v>
      </c>
      <c r="B6" s="20" t="s">
        <v>73</v>
      </c>
      <c r="C6" s="1">
        <v>2</v>
      </c>
      <c r="D6" s="1">
        <f t="shared" si="0"/>
        <v>2</v>
      </c>
      <c r="E6" s="1">
        <f t="shared" si="1"/>
        <v>4</v>
      </c>
      <c r="F6" s="30" t="str">
        <f t="shared" si="2"/>
        <v>No</v>
      </c>
    </row>
    <row r="7" spans="1:6" x14ac:dyDescent="0.3">
      <c r="A7" s="21">
        <v>2</v>
      </c>
      <c r="B7" s="20" t="s">
        <v>74</v>
      </c>
      <c r="C7" s="1">
        <v>2</v>
      </c>
      <c r="D7" s="1">
        <f t="shared" si="0"/>
        <v>2</v>
      </c>
      <c r="E7" s="1">
        <f t="shared" si="1"/>
        <v>4</v>
      </c>
      <c r="F7" s="30" t="str">
        <f t="shared" si="2"/>
        <v>No</v>
      </c>
    </row>
    <row r="8" spans="1:6" x14ac:dyDescent="0.3">
      <c r="A8" s="21">
        <v>3</v>
      </c>
      <c r="B8" s="20" t="s">
        <v>75</v>
      </c>
      <c r="C8" s="1">
        <v>2</v>
      </c>
      <c r="D8" s="1">
        <f t="shared" si="0"/>
        <v>3</v>
      </c>
      <c r="E8" s="1">
        <f t="shared" si="1"/>
        <v>8</v>
      </c>
      <c r="F8" s="30" t="str">
        <f t="shared" si="2"/>
        <v>No</v>
      </c>
    </row>
    <row r="9" spans="1:6" x14ac:dyDescent="0.3">
      <c r="A9" s="21">
        <v>3</v>
      </c>
      <c r="B9" s="20" t="s">
        <v>76</v>
      </c>
      <c r="C9" s="1">
        <v>2</v>
      </c>
      <c r="D9" s="1">
        <f t="shared" si="0"/>
        <v>3</v>
      </c>
      <c r="E9" s="1">
        <f t="shared" si="1"/>
        <v>8</v>
      </c>
      <c r="F9" s="30" t="str">
        <f t="shared" si="2"/>
        <v>No</v>
      </c>
    </row>
    <row r="10" spans="1:6" x14ac:dyDescent="0.3">
      <c r="A10" s="21">
        <v>3</v>
      </c>
      <c r="B10" s="20" t="s">
        <v>77</v>
      </c>
      <c r="C10" s="1">
        <v>4</v>
      </c>
      <c r="D10" s="1">
        <f t="shared" si="0"/>
        <v>3</v>
      </c>
      <c r="E10" s="1">
        <f t="shared" si="1"/>
        <v>8</v>
      </c>
      <c r="F10" s="30" t="str">
        <f t="shared" si="2"/>
        <v>No</v>
      </c>
    </row>
    <row r="11" spans="1:6" x14ac:dyDescent="0.3">
      <c r="A11" s="21">
        <v>4</v>
      </c>
      <c r="B11" s="20" t="s">
        <v>78</v>
      </c>
      <c r="C11" s="1">
        <v>2</v>
      </c>
      <c r="D11" s="1">
        <f t="shared" si="0"/>
        <v>2</v>
      </c>
      <c r="E11" s="1">
        <f t="shared" si="1"/>
        <v>4</v>
      </c>
      <c r="F11" s="30" t="str">
        <f t="shared" si="2"/>
        <v>No</v>
      </c>
    </row>
    <row r="12" spans="1:6" x14ac:dyDescent="0.3">
      <c r="A12" s="21">
        <v>4</v>
      </c>
      <c r="B12" s="20" t="s">
        <v>79</v>
      </c>
      <c r="C12" s="1">
        <v>2</v>
      </c>
      <c r="D12" s="1">
        <f t="shared" si="0"/>
        <v>2</v>
      </c>
      <c r="E12" s="1">
        <f t="shared" si="1"/>
        <v>4</v>
      </c>
      <c r="F12" s="30" t="str">
        <f t="shared" si="2"/>
        <v>No</v>
      </c>
    </row>
    <row r="13" spans="1:6" x14ac:dyDescent="0.3">
      <c r="A13" s="21">
        <v>5</v>
      </c>
      <c r="B13" s="20" t="s">
        <v>80</v>
      </c>
      <c r="C13" s="1">
        <v>2</v>
      </c>
      <c r="D13" s="1">
        <f t="shared" si="0"/>
        <v>1</v>
      </c>
      <c r="E13" s="1">
        <f t="shared" si="1"/>
        <v>2</v>
      </c>
      <c r="F13" s="30" t="str">
        <f t="shared" si="2"/>
        <v>No</v>
      </c>
    </row>
    <row r="14" spans="1:6" x14ac:dyDescent="0.3">
      <c r="A14" s="21">
        <v>6</v>
      </c>
      <c r="B14" s="20" t="s">
        <v>81</v>
      </c>
      <c r="C14" s="1">
        <v>2</v>
      </c>
      <c r="D14" s="1">
        <f t="shared" si="0"/>
        <v>3</v>
      </c>
      <c r="E14" s="1">
        <f t="shared" si="1"/>
        <v>7</v>
      </c>
      <c r="F14" s="30" t="str">
        <f t="shared" si="2"/>
        <v>No</v>
      </c>
    </row>
    <row r="15" spans="1:6" x14ac:dyDescent="0.3">
      <c r="A15" s="21">
        <v>6</v>
      </c>
      <c r="B15" s="20" t="s">
        <v>82</v>
      </c>
      <c r="C15" s="1">
        <v>3</v>
      </c>
      <c r="D15" s="1">
        <f t="shared" si="0"/>
        <v>3</v>
      </c>
      <c r="E15" s="1">
        <f t="shared" si="1"/>
        <v>7</v>
      </c>
      <c r="F15" s="30" t="str">
        <f t="shared" si="2"/>
        <v>No</v>
      </c>
    </row>
    <row r="16" spans="1:6" x14ac:dyDescent="0.3">
      <c r="A16" s="21">
        <v>6</v>
      </c>
      <c r="B16" s="20" t="s">
        <v>83</v>
      </c>
      <c r="C16" s="1">
        <v>2</v>
      </c>
      <c r="D16" s="1">
        <f t="shared" si="0"/>
        <v>3</v>
      </c>
      <c r="E16" s="1">
        <f t="shared" si="1"/>
        <v>7</v>
      </c>
      <c r="F16" s="30" t="str">
        <f t="shared" si="2"/>
        <v>No</v>
      </c>
    </row>
    <row r="17" spans="1:6" x14ac:dyDescent="0.3">
      <c r="A17" s="21">
        <v>7</v>
      </c>
      <c r="B17" s="20" t="s">
        <v>84</v>
      </c>
      <c r="C17" s="1">
        <v>4</v>
      </c>
      <c r="D17" s="1">
        <f t="shared" si="0"/>
        <v>1</v>
      </c>
      <c r="E17" s="1">
        <f t="shared" si="1"/>
        <v>4</v>
      </c>
      <c r="F17" s="30" t="str">
        <f t="shared" si="2"/>
        <v>No</v>
      </c>
    </row>
    <row r="18" spans="1:6" x14ac:dyDescent="0.3">
      <c r="A18" s="21">
        <v>8</v>
      </c>
      <c r="B18" s="20" t="s">
        <v>85</v>
      </c>
      <c r="C18" s="1">
        <v>2</v>
      </c>
      <c r="D18" s="1">
        <f t="shared" si="0"/>
        <v>1</v>
      </c>
      <c r="E18" s="1">
        <f t="shared" si="1"/>
        <v>2</v>
      </c>
      <c r="F18" s="30" t="str">
        <f t="shared" si="2"/>
        <v>No</v>
      </c>
    </row>
    <row r="19" spans="1:6" x14ac:dyDescent="0.3">
      <c r="A19" s="21">
        <v>9</v>
      </c>
      <c r="B19" s="20" t="s">
        <v>86</v>
      </c>
      <c r="C19" s="1">
        <v>4</v>
      </c>
      <c r="D19" s="1">
        <f t="shared" si="0"/>
        <v>2</v>
      </c>
      <c r="E19" s="1">
        <f t="shared" si="1"/>
        <v>6</v>
      </c>
      <c r="F19" s="30" t="str">
        <f t="shared" si="2"/>
        <v>No</v>
      </c>
    </row>
    <row r="20" spans="1:6" x14ac:dyDescent="0.3">
      <c r="A20" s="21">
        <v>9</v>
      </c>
      <c r="B20" s="20" t="s">
        <v>87</v>
      </c>
      <c r="C20" s="1">
        <v>2</v>
      </c>
      <c r="D20" s="1">
        <f t="shared" si="0"/>
        <v>2</v>
      </c>
      <c r="E20" s="1">
        <f t="shared" si="1"/>
        <v>6</v>
      </c>
      <c r="F20" s="30" t="str">
        <f t="shared" si="2"/>
        <v>No</v>
      </c>
    </row>
    <row r="21" spans="1:6" x14ac:dyDescent="0.3">
      <c r="A21" s="21">
        <v>10</v>
      </c>
      <c r="B21" s="20" t="s">
        <v>88</v>
      </c>
      <c r="C21" s="1">
        <v>3</v>
      </c>
      <c r="D21" s="1">
        <f t="shared" si="0"/>
        <v>1</v>
      </c>
      <c r="E21" s="1">
        <f t="shared" si="1"/>
        <v>3</v>
      </c>
      <c r="F21" s="30" t="str">
        <f t="shared" si="2"/>
        <v>No</v>
      </c>
    </row>
    <row r="22" spans="1:6" x14ac:dyDescent="0.3">
      <c r="A22" s="21">
        <v>11</v>
      </c>
      <c r="B22" s="20" t="s">
        <v>89</v>
      </c>
      <c r="C22" s="1">
        <v>1</v>
      </c>
      <c r="D22" s="1">
        <f t="shared" si="0"/>
        <v>2</v>
      </c>
      <c r="E22" s="1">
        <f t="shared" si="1"/>
        <v>4</v>
      </c>
      <c r="F22" s="30" t="str">
        <f t="shared" si="2"/>
        <v>No</v>
      </c>
    </row>
    <row r="23" spans="1:6" ht="15" thickBot="1" x14ac:dyDescent="0.35">
      <c r="A23" s="22">
        <v>11</v>
      </c>
      <c r="B23" s="31" t="s">
        <v>90</v>
      </c>
      <c r="C23" s="32">
        <v>3</v>
      </c>
      <c r="D23" s="32">
        <f t="shared" si="0"/>
        <v>2</v>
      </c>
      <c r="E23" s="32">
        <f t="shared" si="1"/>
        <v>4</v>
      </c>
      <c r="F23" s="33" t="str">
        <f t="shared" si="2"/>
        <v>No</v>
      </c>
    </row>
  </sheetData>
  <mergeCells count="2">
    <mergeCell ref="A1:F1"/>
    <mergeCell ref="A2:F2"/>
  </mergeCells>
  <conditionalFormatting sqref="E4:E23">
    <cfRule type="cellIs" dxfId="3" priority="2" operator="greaterThan">
      <formula>8</formula>
    </cfRule>
  </conditionalFormatting>
  <conditionalFormatting sqref="F4:F23">
    <cfRule type="cellIs" dxfId="2" priority="3" operator="equal">
      <formula>"Sí"</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
  <sheetViews>
    <sheetView zoomScaleNormal="100" workbookViewId="0">
      <pane ySplit="3" topLeftCell="A4" activePane="bottomLeft" state="frozen"/>
      <selection pane="bottomLeft" activeCell="A3" sqref="A3:XFD3"/>
    </sheetView>
  </sheetViews>
  <sheetFormatPr defaultColWidth="8.6640625" defaultRowHeight="14.4" x14ac:dyDescent="0.3"/>
  <cols>
    <col min="1" max="1" width="16" customWidth="1"/>
    <col min="2" max="2" width="42" customWidth="1"/>
    <col min="3" max="4" width="16" customWidth="1"/>
    <col min="5" max="6" width="20" customWidth="1"/>
  </cols>
  <sheetData>
    <row r="1" spans="1:6" ht="21.75" customHeight="1" thickBot="1" x14ac:dyDescent="0.35">
      <c r="A1" s="34" t="s">
        <v>91</v>
      </c>
      <c r="B1" s="35"/>
      <c r="C1" s="35"/>
      <c r="D1" s="35"/>
      <c r="E1" s="35"/>
      <c r="F1" s="36"/>
    </row>
    <row r="2" spans="1:6" ht="27.75" customHeight="1" thickBot="1" x14ac:dyDescent="0.35">
      <c r="A2" s="54" t="s">
        <v>92</v>
      </c>
      <c r="B2" s="55"/>
      <c r="C2" s="55"/>
      <c r="D2" s="55"/>
      <c r="E2" s="55"/>
      <c r="F2" s="56"/>
    </row>
    <row r="3" spans="1:6" ht="55.8" customHeight="1" thickBot="1" x14ac:dyDescent="0.35">
      <c r="A3" s="25" t="s">
        <v>2</v>
      </c>
      <c r="B3" s="26" t="s">
        <v>13</v>
      </c>
      <c r="C3" s="27" t="s">
        <v>14</v>
      </c>
      <c r="D3" s="27" t="s">
        <v>15</v>
      </c>
      <c r="E3" s="27" t="s">
        <v>16</v>
      </c>
      <c r="F3" s="28" t="s">
        <v>17</v>
      </c>
    </row>
    <row r="4" spans="1:6" x14ac:dyDescent="0.3">
      <c r="A4" s="23">
        <v>1</v>
      </c>
      <c r="B4" s="24" t="s">
        <v>93</v>
      </c>
      <c r="C4" s="7">
        <v>2</v>
      </c>
      <c r="D4" s="7">
        <f>COUNTIF($A$4:$A$8,A4)</f>
        <v>2</v>
      </c>
      <c r="E4" s="7">
        <f>SUMIF($A$4:$A$8,A4,$C$4:$C$8)</f>
        <v>5</v>
      </c>
      <c r="F4" s="29" t="str">
        <f>IF(E4&gt;8,"Sí","No")</f>
        <v>No</v>
      </c>
    </row>
    <row r="5" spans="1:6" x14ac:dyDescent="0.3">
      <c r="A5" s="21">
        <v>1</v>
      </c>
      <c r="B5" s="20" t="s">
        <v>94</v>
      </c>
      <c r="C5" s="1">
        <v>3</v>
      </c>
      <c r="D5" s="1">
        <f>COUNTIF($A$4:$A$8,A5)</f>
        <v>2</v>
      </c>
      <c r="E5" s="1">
        <f>SUMIF($A$4:$A$8,A5,$C$4:$C$8)</f>
        <v>5</v>
      </c>
      <c r="F5" s="30" t="str">
        <f>IF(E5&gt;8,"Sí","No")</f>
        <v>No</v>
      </c>
    </row>
    <row r="6" spans="1:6" x14ac:dyDescent="0.3">
      <c r="A6" s="21">
        <v>2</v>
      </c>
      <c r="B6" s="20" t="s">
        <v>95</v>
      </c>
      <c r="C6" s="1">
        <v>2</v>
      </c>
      <c r="D6" s="1">
        <f>COUNTIF($A$4:$A$8,A6)</f>
        <v>2</v>
      </c>
      <c r="E6" s="1">
        <f>SUMIF($A$4:$A$8,A6,$C$4:$C$8)</f>
        <v>4</v>
      </c>
      <c r="F6" s="30" t="str">
        <f>IF(E6&gt;8,"Sí","No")</f>
        <v>No</v>
      </c>
    </row>
    <row r="7" spans="1:6" x14ac:dyDescent="0.3">
      <c r="A7" s="21">
        <v>2</v>
      </c>
      <c r="B7" s="20" t="s">
        <v>96</v>
      </c>
      <c r="C7" s="1">
        <v>2</v>
      </c>
      <c r="D7" s="1">
        <f>COUNTIF($A$4:$A$8,A7)</f>
        <v>2</v>
      </c>
      <c r="E7" s="1">
        <f>SUMIF($A$4:$A$8,A7,$C$4:$C$8)</f>
        <v>4</v>
      </c>
      <c r="F7" s="30" t="str">
        <f>IF(E7&gt;8,"Sí","No")</f>
        <v>No</v>
      </c>
    </row>
    <row r="8" spans="1:6" ht="15" thickBot="1" x14ac:dyDescent="0.35">
      <c r="A8" s="22">
        <v>3</v>
      </c>
      <c r="B8" s="31" t="s">
        <v>97</v>
      </c>
      <c r="C8" s="32">
        <v>2</v>
      </c>
      <c r="D8" s="32">
        <f>COUNTIF($A$4:$A$8,A8)</f>
        <v>1</v>
      </c>
      <c r="E8" s="32">
        <f>SUMIF($A$4:$A$8,A8,$C$4:$C$8)</f>
        <v>2</v>
      </c>
      <c r="F8" s="33" t="str">
        <f>IF(E8&gt;8,"Sí","No")</f>
        <v>No</v>
      </c>
    </row>
  </sheetData>
  <mergeCells count="2">
    <mergeCell ref="A1:F1"/>
    <mergeCell ref="A2:F2"/>
  </mergeCells>
  <conditionalFormatting sqref="E4:E8">
    <cfRule type="cellIs" dxfId="1" priority="2" operator="greaterThan">
      <formula>8</formula>
    </cfRule>
  </conditionalFormatting>
  <conditionalFormatting sqref="F4:F8">
    <cfRule type="cellIs" dxfId="0" priority="3" operator="equal">
      <formula>"Sí"</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vt:lpstr>
      <vt:lpstr>WorkCell1</vt:lpstr>
      <vt:lpstr>WorkCell2</vt:lpstr>
      <vt:lpstr>WorkCell3</vt:lpstr>
      <vt:lpstr>WorkCell4</vt:lpstr>
      <vt:lpstr>WorkCell5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Diego Gonzalez</cp:lastModifiedBy>
  <cp:revision>1</cp:revision>
  <dcterms:created xsi:type="dcterms:W3CDTF">2026-08-11T04:39:17Z</dcterms:created>
  <dcterms:modified xsi:type="dcterms:W3CDTF">2026-08-11T05:03:10Z</dcterms:modified>
  <dc:language>en-US</dc:language>
</cp:coreProperties>
</file>